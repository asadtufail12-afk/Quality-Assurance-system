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Asif Haleem Khan AHF DATA 1-1-2025 - Copy\Complie Annual QA DATA OF Year 2025\"/>
    </mc:Choice>
  </mc:AlternateContent>
  <xr:revisionPtr revIDLastSave="0" documentId="13_ncr:1_{32D5BBE4-0C70-40BE-9CB7-E8B261128B8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Hematology" sheetId="1" r:id="rId1"/>
    <sheet name="Special Chemistry" sheetId="2" r:id="rId2"/>
    <sheet name="Routine Chemistry" sheetId="3" r:id="rId3"/>
    <sheet name="Microbiology" sheetId="4" r:id="rId4"/>
    <sheet name="Molecular Pathology" sheetId="5" r:id="rId5"/>
    <sheet name="Histopathology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3" l="1"/>
  <c r="E10" i="3"/>
  <c r="F10" i="3"/>
  <c r="G10" i="3"/>
  <c r="H10" i="3"/>
  <c r="I10" i="3"/>
  <c r="J10" i="3"/>
  <c r="K10" i="3"/>
  <c r="L10" i="3"/>
  <c r="M10" i="3"/>
  <c r="N10" i="3"/>
  <c r="C10" i="3"/>
  <c r="D10" i="2"/>
  <c r="E10" i="2"/>
  <c r="F10" i="2"/>
  <c r="G10" i="2"/>
  <c r="H10" i="2"/>
  <c r="I10" i="2"/>
  <c r="J10" i="2"/>
  <c r="K10" i="2"/>
  <c r="L10" i="2"/>
  <c r="M10" i="2"/>
  <c r="N10" i="2"/>
  <c r="C10" i="2"/>
  <c r="D10" i="1"/>
  <c r="E10" i="1"/>
  <c r="F10" i="1"/>
  <c r="G10" i="1"/>
  <c r="H10" i="1"/>
  <c r="I10" i="1"/>
  <c r="J10" i="1"/>
  <c r="K10" i="1"/>
  <c r="L10" i="1"/>
  <c r="M10" i="1"/>
  <c r="N10" i="1"/>
  <c r="C10" i="1"/>
</calcChain>
</file>

<file path=xl/sharedStrings.xml><?xml version="1.0" encoding="utf-8"?>
<sst xmlns="http://schemas.openxmlformats.org/spreadsheetml/2006/main" count="212" uniqueCount="33">
  <si>
    <t>Sr. #</t>
  </si>
  <si>
    <t>Name of Indicator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</si>
  <si>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</si>
  <si>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</si>
  <si>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</si>
  <si>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</si>
  <si>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</si>
  <si>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</si>
  <si>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</si>
  <si>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</si>
  <si>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</si>
  <si>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</si>
  <si>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</si>
  <si>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</si>
  <si>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Number Of Specimens</t>
  </si>
  <si>
    <t>Total STAT specimen</t>
  </si>
  <si>
    <t>Total Number of QC</t>
  </si>
  <si>
    <t>Total number of Failed QC</t>
  </si>
  <si>
    <t>% of Acceptance of QC</t>
  </si>
  <si>
    <t>Total Number of Panic results</t>
  </si>
  <si>
    <t>Total number of Informed panic results</t>
  </si>
  <si>
    <t>Total number of Not Informed panic results</t>
  </si>
  <si>
    <t>Total number of rejected samples</t>
  </si>
  <si>
    <t>Total number of Hemolysis samples</t>
  </si>
  <si>
    <t>Total number of unsatisfactory samples</t>
  </si>
  <si>
    <t>Total number of LOT verification</t>
  </si>
  <si>
    <t>Total number of shipment verifications</t>
  </si>
  <si>
    <t>Total Number of QC LOT verification</t>
  </si>
  <si>
    <t>External Quality Assurance</t>
  </si>
  <si>
    <t>Yes</t>
  </si>
  <si>
    <t>No</t>
  </si>
  <si>
    <t xml:space="preserve">Yes </t>
  </si>
  <si>
    <t>% Of Informed Panic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</si>
</sst>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1"/>
    </xf>
    <xf numFmtId="9" fontId="2" fillId="2" borderId="1" xfId="0" applyNumberFormat="1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 wrapText="1" readingOrder="1"/>
    </xf>
    <xf numFmtId="9" fontId="4" fillId="2" borderId="1" xfId="0" applyNumberFormat="1" applyFont="1" applyFill="1" applyBorder="1" applyAlignment="1">
      <alignment horizontal="center" vertical="center"/>
    </xf>
    <xf numFmtId="10" fontId="2" fillId="2" borderId="1" xfId="2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 wrapText="1" readingOrder="1"/>
    </xf>
    <xf numFmtId="10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readingOrder="1"/>
    </xf>
  </cellXfs>
  <cellStyles count="3">
    <cellStyle name="Comma 2" xfId="1" xr:uid="{E5CFA53D-183F-469B-976F-9E7A69662558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workbookViewId="0">
      <selection activeCell="B10" sqref="B10"/>
    </sheetView>
  </sheetViews>
  <sheetFormatPr defaultRowHeight="14.4" x14ac:dyDescent="0.3"/>
  <cols>
    <col min="1" max="1" width="5" bestFit="1" customWidth="1"/>
    <col min="2" max="2" width="42.44140625" bestFit="1" customWidth="1"/>
    <col min="3" max="14" width="10.77734375" customWidth="1"/>
  </cols>
  <sheetData>
    <row r="1" spans="1:14" ht="40.049999999999997" customHeigh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9.95" customHeight="1" x14ac:dyDescent="0.3">
      <c r="A2" s="4">
        <v>1</v>
      </c>
      <c r="B2" s="1" t="s">
        <v>14</v>
      </c>
      <c r="C2" s="5">
        <v>8801</v>
      </c>
      <c r="D2" s="5">
        <v>8339</v>
      </c>
      <c r="E2" s="5">
        <v>6701</v>
      </c>
      <c r="F2" s="5">
        <v>8862</v>
      </c>
      <c r="G2" s="6">
        <v>9195</v>
      </c>
      <c r="H2" s="5">
        <v>8028</v>
      </c>
      <c r="I2" s="4">
        <v>9850</v>
      </c>
      <c r="J2" s="4">
        <v>10614</v>
      </c>
      <c r="K2" s="6">
        <v>12308</v>
      </c>
      <c r="L2" s="6">
        <v>12936</v>
      </c>
      <c r="M2" s="6">
        <v>11551</v>
      </c>
      <c r="N2" s="6">
        <v>10162</v>
      </c>
    </row>
    <row r="3" spans="1:14" ht="19.95" customHeight="1" x14ac:dyDescent="0.3">
      <c r="A3" s="4">
        <v>2</v>
      </c>
      <c r="B3" s="1" t="s">
        <v>15</v>
      </c>
      <c r="C3" s="5">
        <v>500</v>
      </c>
      <c r="D3" s="5">
        <v>600</v>
      </c>
      <c r="E3" s="5">
        <v>550</v>
      </c>
      <c r="F3" s="5">
        <v>500</v>
      </c>
      <c r="G3" s="6">
        <v>300</v>
      </c>
      <c r="H3" s="5">
        <v>150</v>
      </c>
      <c r="I3" s="4">
        <v>300</v>
      </c>
      <c r="J3" s="4">
        <v>400</v>
      </c>
      <c r="K3" s="6">
        <v>400</v>
      </c>
      <c r="L3" s="6">
        <v>250</v>
      </c>
      <c r="M3" s="6">
        <v>400</v>
      </c>
      <c r="N3" s="6">
        <v>100</v>
      </c>
    </row>
    <row r="4" spans="1:14" ht="19.95" customHeight="1" x14ac:dyDescent="0.3">
      <c r="A4" s="4">
        <v>3</v>
      </c>
      <c r="B4" s="1" t="s">
        <v>16</v>
      </c>
      <c r="C4" s="5">
        <v>90</v>
      </c>
      <c r="D4" s="5">
        <v>84</v>
      </c>
      <c r="E4" s="5">
        <v>169</v>
      </c>
      <c r="F4" s="5">
        <v>500</v>
      </c>
      <c r="G4" s="6">
        <v>187</v>
      </c>
      <c r="H4" s="5">
        <v>180</v>
      </c>
      <c r="I4" s="4">
        <v>190</v>
      </c>
      <c r="J4" s="4">
        <v>181</v>
      </c>
      <c r="K4" s="6">
        <v>175</v>
      </c>
      <c r="L4" s="6">
        <v>146</v>
      </c>
      <c r="M4" s="6">
        <v>122</v>
      </c>
      <c r="N4" s="6">
        <v>183</v>
      </c>
    </row>
    <row r="5" spans="1:14" ht="19.95" customHeight="1" x14ac:dyDescent="0.3">
      <c r="A5" s="4">
        <v>4</v>
      </c>
      <c r="B5" s="1" t="s">
        <v>17</v>
      </c>
      <c r="C5" s="5">
        <v>0</v>
      </c>
      <c r="D5" s="5">
        <v>0</v>
      </c>
      <c r="E5" s="5">
        <v>0</v>
      </c>
      <c r="F5" s="5">
        <v>190</v>
      </c>
      <c r="G5" s="6">
        <v>2</v>
      </c>
      <c r="H5" s="5">
        <v>0</v>
      </c>
      <c r="I5" s="4">
        <v>0</v>
      </c>
      <c r="J5" s="4">
        <v>0</v>
      </c>
      <c r="K5" s="6">
        <v>2</v>
      </c>
      <c r="L5" s="6">
        <v>0</v>
      </c>
      <c r="M5" s="6">
        <v>2</v>
      </c>
      <c r="N5" s="6">
        <v>6</v>
      </c>
    </row>
    <row r="6" spans="1:14" ht="19.95" customHeight="1" x14ac:dyDescent="0.3">
      <c r="A6" s="4">
        <v>5</v>
      </c>
      <c r="B6" s="1" t="s">
        <v>18</v>
      </c>
      <c r="C6" s="7">
        <v>1</v>
      </c>
      <c r="D6" s="7">
        <v>1</v>
      </c>
      <c r="E6" s="7">
        <v>1</v>
      </c>
      <c r="F6" s="5">
        <v>0</v>
      </c>
      <c r="G6" s="8">
        <v>0.98299999999999998</v>
      </c>
      <c r="H6" s="7">
        <v>1</v>
      </c>
      <c r="I6" s="9">
        <v>1</v>
      </c>
      <c r="J6" s="9">
        <v>1</v>
      </c>
      <c r="K6" s="8">
        <v>0.98299999999999998</v>
      </c>
      <c r="L6" s="8">
        <v>1</v>
      </c>
      <c r="M6" s="8">
        <v>0.98299999999999998</v>
      </c>
      <c r="N6" s="8">
        <v>0.96699999999999997</v>
      </c>
    </row>
    <row r="7" spans="1:14" ht="19.95" customHeight="1" x14ac:dyDescent="0.3">
      <c r="A7" s="4">
        <v>6</v>
      </c>
      <c r="B7" s="1" t="s">
        <v>19</v>
      </c>
      <c r="C7" s="5">
        <v>18</v>
      </c>
      <c r="D7" s="5">
        <v>13</v>
      </c>
      <c r="E7" s="5">
        <v>28</v>
      </c>
      <c r="F7" s="7">
        <v>1</v>
      </c>
      <c r="G7" s="6">
        <v>14</v>
      </c>
      <c r="H7" s="5">
        <v>15</v>
      </c>
      <c r="I7" s="4">
        <v>18</v>
      </c>
      <c r="J7" s="4">
        <v>28</v>
      </c>
      <c r="K7" s="6">
        <v>22</v>
      </c>
      <c r="L7" s="6">
        <v>36</v>
      </c>
      <c r="M7" s="6">
        <v>22</v>
      </c>
      <c r="N7" s="6">
        <v>16</v>
      </c>
    </row>
    <row r="8" spans="1:14" ht="19.95" customHeight="1" x14ac:dyDescent="0.3">
      <c r="A8" s="4">
        <v>7</v>
      </c>
      <c r="B8" s="1" t="s">
        <v>20</v>
      </c>
      <c r="C8" s="5">
        <v>18</v>
      </c>
      <c r="D8" s="5">
        <v>13</v>
      </c>
      <c r="E8" s="5">
        <v>28</v>
      </c>
      <c r="F8" s="5">
        <v>15</v>
      </c>
      <c r="G8" s="6">
        <v>13</v>
      </c>
      <c r="H8" s="5">
        <v>15</v>
      </c>
      <c r="I8" s="4">
        <v>17</v>
      </c>
      <c r="J8" s="4">
        <v>27</v>
      </c>
      <c r="K8" s="6">
        <v>22</v>
      </c>
      <c r="L8" s="6">
        <v>36</v>
      </c>
      <c r="M8" s="6">
        <v>22</v>
      </c>
      <c r="N8" s="6">
        <v>16</v>
      </c>
    </row>
    <row r="9" spans="1:14" ht="19.95" customHeight="1" x14ac:dyDescent="0.3">
      <c r="A9" s="4">
        <v>8</v>
      </c>
      <c r="B9" s="1" t="s">
        <v>21</v>
      </c>
      <c r="C9" s="5">
        <v>0</v>
      </c>
      <c r="D9" s="5">
        <v>0</v>
      </c>
      <c r="E9" s="5">
        <v>0</v>
      </c>
      <c r="F9" s="5">
        <v>15</v>
      </c>
      <c r="G9" s="6">
        <v>1</v>
      </c>
      <c r="H9" s="5">
        <v>0</v>
      </c>
      <c r="I9" s="4">
        <v>1</v>
      </c>
      <c r="J9" s="4">
        <v>1</v>
      </c>
      <c r="K9" s="6">
        <v>0</v>
      </c>
      <c r="L9" s="6">
        <v>0</v>
      </c>
      <c r="M9" s="6">
        <v>0</v>
      </c>
      <c r="N9" s="6">
        <v>0</v>
      </c>
    </row>
    <row r="10" spans="1:14" ht="19.95" customHeight="1" x14ac:dyDescent="0.3">
      <c r="A10" s="4">
        <v>9</v>
      </c>
      <c r="B10" s="1" t="s">
        <v>32</v>
      </c>
      <c r="C10" s="10">
        <f>C8/C7</f>
        <v>1</v>
      </c>
      <c r="D10" s="10">
        <f t="shared" ref="D10:N10" si="0">D8/D7</f>
        <v>1</v>
      </c>
      <c r="E10" s="10">
        <f t="shared" si="0"/>
        <v>1</v>
      </c>
      <c r="F10" s="10">
        <f t="shared" si="0"/>
        <v>15</v>
      </c>
      <c r="G10" s="10">
        <f t="shared" si="0"/>
        <v>0.9285714285714286</v>
      </c>
      <c r="H10" s="10">
        <f t="shared" si="0"/>
        <v>1</v>
      </c>
      <c r="I10" s="10">
        <f t="shared" si="0"/>
        <v>0.94444444444444442</v>
      </c>
      <c r="J10" s="10">
        <f t="shared" si="0"/>
        <v>0.9642857142857143</v>
      </c>
      <c r="K10" s="10">
        <f t="shared" si="0"/>
        <v>1</v>
      </c>
      <c r="L10" s="10">
        <f t="shared" si="0"/>
        <v>1</v>
      </c>
      <c r="M10" s="10">
        <f t="shared" si="0"/>
        <v>1</v>
      </c>
      <c r="N10" s="10">
        <f t="shared" si="0"/>
        <v>1</v>
      </c>
    </row>
    <row r="11" spans="1:14" ht="19.95" customHeight="1" x14ac:dyDescent="0.3">
      <c r="A11" s="4">
        <v>10</v>
      </c>
      <c r="B11" s="1" t="s">
        <v>22</v>
      </c>
      <c r="C11" s="5">
        <v>3</v>
      </c>
      <c r="D11" s="5">
        <v>6</v>
      </c>
      <c r="E11" s="5">
        <v>6</v>
      </c>
      <c r="F11" s="5">
        <v>0</v>
      </c>
      <c r="G11" s="5">
        <v>6</v>
      </c>
      <c r="H11" s="5">
        <v>12</v>
      </c>
      <c r="I11" s="4">
        <v>5</v>
      </c>
      <c r="J11" s="4">
        <v>4</v>
      </c>
      <c r="K11" s="4">
        <v>4</v>
      </c>
      <c r="L11" s="4">
        <v>6</v>
      </c>
      <c r="M11" s="4">
        <v>4</v>
      </c>
      <c r="N11" s="4">
        <v>20</v>
      </c>
    </row>
    <row r="12" spans="1:14" ht="19.95" customHeight="1" x14ac:dyDescent="0.3">
      <c r="A12" s="4">
        <v>11</v>
      </c>
      <c r="B12" s="1" t="s">
        <v>23</v>
      </c>
      <c r="C12" s="5">
        <v>0</v>
      </c>
      <c r="D12" s="5">
        <v>0</v>
      </c>
      <c r="E12" s="5">
        <v>0</v>
      </c>
      <c r="F12" s="5">
        <v>2</v>
      </c>
      <c r="G12" s="5">
        <v>0</v>
      </c>
      <c r="H12" s="5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 ht="19.95" customHeight="1" x14ac:dyDescent="0.3">
      <c r="A13" s="4">
        <v>12</v>
      </c>
      <c r="B13" s="1" t="s">
        <v>24</v>
      </c>
      <c r="C13" s="5">
        <v>3</v>
      </c>
      <c r="D13" s="5">
        <v>6</v>
      </c>
      <c r="E13" s="5">
        <v>0</v>
      </c>
      <c r="F13" s="5">
        <v>0</v>
      </c>
      <c r="G13" s="5">
        <v>2</v>
      </c>
      <c r="H13" s="5">
        <v>0</v>
      </c>
      <c r="I13" s="4">
        <v>2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 ht="19.95" customHeight="1" x14ac:dyDescent="0.3">
      <c r="A14" s="4">
        <v>13</v>
      </c>
      <c r="B14" s="1" t="s">
        <v>25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 ht="19.95" customHeight="1" x14ac:dyDescent="0.3">
      <c r="A15" s="4">
        <v>14</v>
      </c>
      <c r="B15" s="1" t="s">
        <v>26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 ht="19.95" customHeight="1" x14ac:dyDescent="0.3">
      <c r="A16" s="4">
        <v>15</v>
      </c>
      <c r="B16" s="1" t="s">
        <v>27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 ht="19.95" customHeight="1" x14ac:dyDescent="0.3">
      <c r="A17" s="4">
        <v>16</v>
      </c>
      <c r="B17" s="1" t="s">
        <v>28</v>
      </c>
      <c r="C17" s="5" t="s">
        <v>29</v>
      </c>
      <c r="D17" s="5" t="s">
        <v>29</v>
      </c>
      <c r="E17" s="5" t="s">
        <v>29</v>
      </c>
      <c r="F17" s="5">
        <v>0</v>
      </c>
      <c r="G17" s="5" t="s">
        <v>29</v>
      </c>
      <c r="H17" s="5" t="s">
        <v>29</v>
      </c>
      <c r="I17" s="4" t="s">
        <v>29</v>
      </c>
      <c r="J17" s="4" t="s">
        <v>30</v>
      </c>
      <c r="K17" s="4" t="s">
        <v>29</v>
      </c>
      <c r="L17" s="4" t="s">
        <v>29</v>
      </c>
      <c r="M17" s="11" t="s">
        <v>29</v>
      </c>
      <c r="N17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97B8-2AA7-407B-8077-3344E3806B27}">
  <dimension ref="A1:N17"/>
  <sheetViews>
    <sheetView workbookViewId="0">
      <selection activeCell="B10" sqref="B10"/>
    </sheetView>
  </sheetViews>
  <sheetFormatPr defaultRowHeight="14.4" x14ac:dyDescent="0.3"/>
  <cols>
    <col min="1" max="1" width="5" bestFit="1" customWidth="1"/>
    <col min="2" max="2" width="36.77734375" bestFit="1" customWidth="1"/>
    <col min="3" max="15" width="10.77734375" customWidth="1"/>
  </cols>
  <sheetData>
    <row r="1" spans="1:14" ht="40.049999999999997" customHeigh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9.95" customHeight="1" x14ac:dyDescent="0.3">
      <c r="A2" s="4">
        <v>1</v>
      </c>
      <c r="B2" s="1" t="s">
        <v>14</v>
      </c>
      <c r="C2" s="5">
        <v>4645</v>
      </c>
      <c r="D2" s="5">
        <v>4616</v>
      </c>
      <c r="E2" s="5">
        <v>3653</v>
      </c>
      <c r="F2" s="5">
        <v>4488</v>
      </c>
      <c r="G2" s="6">
        <v>5996</v>
      </c>
      <c r="H2" s="5">
        <v>3690</v>
      </c>
      <c r="I2" s="6">
        <v>5052</v>
      </c>
      <c r="J2" s="6">
        <v>6562</v>
      </c>
      <c r="K2" s="6">
        <v>6050</v>
      </c>
      <c r="L2" s="6">
        <v>4645</v>
      </c>
      <c r="M2" s="6">
        <v>6050</v>
      </c>
      <c r="N2" s="6">
        <v>5498</v>
      </c>
    </row>
    <row r="3" spans="1:14" ht="19.95" customHeight="1" x14ac:dyDescent="0.3">
      <c r="A3" s="4">
        <v>2</v>
      </c>
      <c r="B3" s="1" t="s">
        <v>15</v>
      </c>
      <c r="C3" s="5">
        <v>300</v>
      </c>
      <c r="D3" s="5">
        <v>350</v>
      </c>
      <c r="E3" s="5">
        <v>400</v>
      </c>
      <c r="F3" s="5">
        <v>200</v>
      </c>
      <c r="G3" s="6">
        <v>100</v>
      </c>
      <c r="H3" s="5">
        <v>50</v>
      </c>
      <c r="I3" s="6">
        <v>45</v>
      </c>
      <c r="J3" s="6">
        <v>70</v>
      </c>
      <c r="K3" s="6">
        <v>50</v>
      </c>
      <c r="L3" s="6">
        <v>28</v>
      </c>
      <c r="M3" s="6">
        <v>50</v>
      </c>
      <c r="N3" s="6">
        <v>46</v>
      </c>
    </row>
    <row r="4" spans="1:14" ht="19.95" customHeight="1" x14ac:dyDescent="0.3">
      <c r="A4" s="4">
        <v>3</v>
      </c>
      <c r="B4" s="1" t="s">
        <v>16</v>
      </c>
      <c r="C4" s="5">
        <v>67</v>
      </c>
      <c r="D4" s="5">
        <v>69</v>
      </c>
      <c r="E4" s="5">
        <v>67</v>
      </c>
      <c r="F4" s="5">
        <v>72</v>
      </c>
      <c r="G4" s="6">
        <v>72</v>
      </c>
      <c r="H4" s="5">
        <v>67</v>
      </c>
      <c r="I4" s="6">
        <v>454</v>
      </c>
      <c r="J4" s="6">
        <v>459</v>
      </c>
      <c r="K4" s="6">
        <v>436</v>
      </c>
      <c r="L4" s="6">
        <v>454</v>
      </c>
      <c r="M4" s="6">
        <v>436</v>
      </c>
      <c r="N4" s="6">
        <v>464</v>
      </c>
    </row>
    <row r="5" spans="1:14" ht="19.95" customHeight="1" x14ac:dyDescent="0.3">
      <c r="A5" s="4">
        <v>4</v>
      </c>
      <c r="B5" s="1" t="s">
        <v>17</v>
      </c>
      <c r="C5" s="5">
        <v>7</v>
      </c>
      <c r="D5" s="5">
        <v>13</v>
      </c>
      <c r="E5" s="5">
        <v>5</v>
      </c>
      <c r="F5" s="5">
        <v>12</v>
      </c>
      <c r="G5" s="6">
        <v>10</v>
      </c>
      <c r="H5" s="5">
        <v>7</v>
      </c>
      <c r="I5" s="6">
        <v>20</v>
      </c>
      <c r="J5" s="6">
        <v>25</v>
      </c>
      <c r="K5" s="6">
        <v>16</v>
      </c>
      <c r="L5" s="6">
        <v>20</v>
      </c>
      <c r="M5" s="6">
        <v>16</v>
      </c>
      <c r="N5" s="6">
        <v>30</v>
      </c>
    </row>
    <row r="6" spans="1:14" ht="19.95" customHeight="1" x14ac:dyDescent="0.3">
      <c r="A6" s="4">
        <v>5</v>
      </c>
      <c r="B6" s="1" t="s">
        <v>18</v>
      </c>
      <c r="C6" s="7">
        <v>0.89</v>
      </c>
      <c r="D6" s="7">
        <v>0.81</v>
      </c>
      <c r="E6" s="7">
        <v>0.93</v>
      </c>
      <c r="F6" s="7">
        <v>0.83</v>
      </c>
      <c r="G6" s="12">
        <v>0.85</v>
      </c>
      <c r="H6" s="13">
        <v>0.89500000000000002</v>
      </c>
      <c r="I6" s="8">
        <v>0.95499999999999996</v>
      </c>
      <c r="J6" s="8">
        <v>0.94499999999999995</v>
      </c>
      <c r="K6" s="8">
        <v>0.96299999999999997</v>
      </c>
      <c r="L6" s="12">
        <v>0.95</v>
      </c>
      <c r="M6" s="8">
        <v>0.96299999999999997</v>
      </c>
      <c r="N6" s="8">
        <v>0.93500000000000005</v>
      </c>
    </row>
    <row r="7" spans="1:14" ht="19.95" customHeight="1" x14ac:dyDescent="0.3">
      <c r="A7" s="4">
        <v>6</v>
      </c>
      <c r="B7" s="1" t="s">
        <v>19</v>
      </c>
      <c r="C7" s="5">
        <v>1</v>
      </c>
      <c r="D7" s="5">
        <v>0</v>
      </c>
      <c r="E7" s="5">
        <v>3</v>
      </c>
      <c r="F7" s="5">
        <v>1</v>
      </c>
      <c r="G7" s="6">
        <v>0</v>
      </c>
      <c r="H7" s="5">
        <v>0</v>
      </c>
      <c r="I7" s="6">
        <v>3</v>
      </c>
      <c r="J7" s="6">
        <v>2</v>
      </c>
      <c r="K7" s="6">
        <v>2</v>
      </c>
      <c r="L7" s="6">
        <v>2</v>
      </c>
      <c r="M7" s="6">
        <v>2</v>
      </c>
      <c r="N7" s="6">
        <v>2</v>
      </c>
    </row>
    <row r="8" spans="1:14" ht="19.95" customHeight="1" x14ac:dyDescent="0.3">
      <c r="A8" s="4">
        <v>7</v>
      </c>
      <c r="B8" s="1" t="s">
        <v>20</v>
      </c>
      <c r="C8" s="5">
        <v>1</v>
      </c>
      <c r="D8" s="5">
        <v>0</v>
      </c>
      <c r="E8" s="5">
        <v>3</v>
      </c>
      <c r="F8" s="5">
        <v>1</v>
      </c>
      <c r="G8" s="6">
        <v>0</v>
      </c>
      <c r="H8" s="5">
        <v>0</v>
      </c>
      <c r="I8" s="6">
        <v>3</v>
      </c>
      <c r="J8" s="6">
        <v>2</v>
      </c>
      <c r="K8" s="6">
        <v>2</v>
      </c>
      <c r="L8" s="6">
        <v>2</v>
      </c>
      <c r="M8" s="6">
        <v>2</v>
      </c>
      <c r="N8" s="6">
        <v>2</v>
      </c>
    </row>
    <row r="9" spans="1:14" ht="19.95" customHeight="1" x14ac:dyDescent="0.3">
      <c r="A9" s="4">
        <v>8</v>
      </c>
      <c r="B9" s="1" t="s">
        <v>21</v>
      </c>
      <c r="C9" s="5">
        <v>0</v>
      </c>
      <c r="D9" s="5">
        <v>0</v>
      </c>
      <c r="E9" s="5">
        <v>0</v>
      </c>
      <c r="F9" s="5">
        <v>0</v>
      </c>
      <c r="G9" s="6">
        <v>0</v>
      </c>
      <c r="H9" s="5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9.95" customHeight="1" x14ac:dyDescent="0.3">
      <c r="A10" s="4">
        <v>9</v>
      </c>
      <c r="B10" s="1" t="s">
        <v>32</v>
      </c>
      <c r="C10" s="10">
        <f>C8/C7</f>
        <v>1</v>
      </c>
      <c r="D10" s="10" t="e">
        <f t="shared" ref="D10:N10" si="0">D8/D7</f>
        <v>#DIV/0!</v>
      </c>
      <c r="E10" s="10">
        <f t="shared" si="0"/>
        <v>1</v>
      </c>
      <c r="F10" s="10">
        <f t="shared" si="0"/>
        <v>1</v>
      </c>
      <c r="G10" s="10" t="e">
        <f t="shared" si="0"/>
        <v>#DIV/0!</v>
      </c>
      <c r="H10" s="10" t="e">
        <f t="shared" si="0"/>
        <v>#DIV/0!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0">
        <f t="shared" si="0"/>
        <v>1</v>
      </c>
      <c r="M10" s="10">
        <f t="shared" si="0"/>
        <v>1</v>
      </c>
      <c r="N10" s="10">
        <f t="shared" si="0"/>
        <v>1</v>
      </c>
    </row>
    <row r="11" spans="1:14" ht="19.95" customHeight="1" x14ac:dyDescent="0.3">
      <c r="A11" s="4">
        <v>10</v>
      </c>
      <c r="B11" s="1" t="s">
        <v>22</v>
      </c>
      <c r="C11" s="5">
        <v>0</v>
      </c>
      <c r="D11" s="5">
        <v>2</v>
      </c>
      <c r="E11" s="5">
        <v>0</v>
      </c>
      <c r="F11" s="5">
        <v>0</v>
      </c>
      <c r="G11" s="5">
        <v>1</v>
      </c>
      <c r="H11" s="5">
        <v>1</v>
      </c>
      <c r="I11" s="4">
        <v>2</v>
      </c>
      <c r="J11" s="4">
        <v>3</v>
      </c>
      <c r="K11" s="6">
        <v>0</v>
      </c>
      <c r="L11" s="4">
        <v>1</v>
      </c>
      <c r="M11" s="6">
        <v>0</v>
      </c>
      <c r="N11" s="6">
        <v>0</v>
      </c>
    </row>
    <row r="12" spans="1:14" ht="19.95" customHeight="1" x14ac:dyDescent="0.3">
      <c r="A12" s="4">
        <v>11</v>
      </c>
      <c r="B12" s="1" t="s">
        <v>23</v>
      </c>
      <c r="C12" s="5">
        <v>0</v>
      </c>
      <c r="D12" s="5">
        <v>2</v>
      </c>
      <c r="E12" s="5">
        <v>0</v>
      </c>
      <c r="F12" s="5">
        <v>0</v>
      </c>
      <c r="G12" s="5">
        <v>0</v>
      </c>
      <c r="H12" s="5">
        <v>0</v>
      </c>
      <c r="I12" s="4">
        <v>0</v>
      </c>
      <c r="J12" s="4">
        <v>0</v>
      </c>
      <c r="K12" s="6">
        <v>0</v>
      </c>
      <c r="L12" s="4">
        <v>0</v>
      </c>
      <c r="M12" s="6">
        <v>0</v>
      </c>
      <c r="N12" s="6">
        <v>0</v>
      </c>
    </row>
    <row r="13" spans="1:14" ht="19.95" customHeight="1" x14ac:dyDescent="0.3">
      <c r="A13" s="4">
        <v>12</v>
      </c>
      <c r="B13" s="1" t="s">
        <v>24</v>
      </c>
      <c r="C13" s="5">
        <v>0</v>
      </c>
      <c r="D13" s="5">
        <v>1</v>
      </c>
      <c r="E13" s="5">
        <v>0</v>
      </c>
      <c r="F13" s="5">
        <v>0</v>
      </c>
      <c r="G13" s="5">
        <v>0</v>
      </c>
      <c r="H13" s="5">
        <v>1</v>
      </c>
      <c r="I13" s="4">
        <v>0</v>
      </c>
      <c r="J13" s="4">
        <v>0</v>
      </c>
      <c r="K13" s="6">
        <v>0</v>
      </c>
      <c r="L13" s="4">
        <v>0</v>
      </c>
      <c r="M13" s="6">
        <v>0</v>
      </c>
      <c r="N13" s="6">
        <v>0</v>
      </c>
    </row>
    <row r="14" spans="1:14" ht="19.95" customHeight="1" x14ac:dyDescent="0.3">
      <c r="A14" s="4">
        <v>13</v>
      </c>
      <c r="B14" s="1" t="s">
        <v>25</v>
      </c>
      <c r="C14" s="5">
        <v>0</v>
      </c>
      <c r="D14" s="5">
        <v>0</v>
      </c>
      <c r="E14" s="5">
        <v>0</v>
      </c>
      <c r="F14" s="5">
        <v>0</v>
      </c>
      <c r="G14" s="5">
        <v>2</v>
      </c>
      <c r="H14" s="5">
        <v>3</v>
      </c>
      <c r="I14" s="4">
        <v>3</v>
      </c>
      <c r="J14" s="4">
        <v>0</v>
      </c>
      <c r="K14" s="6">
        <v>0</v>
      </c>
      <c r="L14" s="4">
        <v>1</v>
      </c>
      <c r="M14" s="6">
        <v>0</v>
      </c>
      <c r="N14" s="6">
        <v>0</v>
      </c>
    </row>
    <row r="15" spans="1:14" ht="19.95" customHeight="1" x14ac:dyDescent="0.3">
      <c r="A15" s="4">
        <v>14</v>
      </c>
      <c r="B15" s="1" t="s">
        <v>26</v>
      </c>
      <c r="C15" s="5">
        <v>3</v>
      </c>
      <c r="D15" s="5">
        <v>3</v>
      </c>
      <c r="E15" s="5">
        <v>3</v>
      </c>
      <c r="F15" s="5">
        <v>3</v>
      </c>
      <c r="G15" s="5">
        <v>0</v>
      </c>
      <c r="H15" s="5">
        <v>0</v>
      </c>
      <c r="I15" s="4">
        <v>0</v>
      </c>
      <c r="J15" s="4">
        <v>0</v>
      </c>
      <c r="K15" s="6">
        <v>0</v>
      </c>
      <c r="L15" s="4">
        <v>0</v>
      </c>
      <c r="M15" s="6">
        <v>0</v>
      </c>
      <c r="N15" s="6">
        <v>0</v>
      </c>
    </row>
    <row r="16" spans="1:14" ht="19.95" customHeight="1" x14ac:dyDescent="0.3">
      <c r="A16" s="4">
        <v>15</v>
      </c>
      <c r="B16" s="1" t="s">
        <v>27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4">
        <v>0</v>
      </c>
      <c r="J16" s="4">
        <v>0</v>
      </c>
      <c r="K16" s="6">
        <v>0</v>
      </c>
      <c r="L16" s="4">
        <v>0</v>
      </c>
      <c r="M16" s="6">
        <v>0</v>
      </c>
      <c r="N16" s="6">
        <v>0</v>
      </c>
    </row>
    <row r="17" spans="1:14" ht="19.95" customHeight="1" x14ac:dyDescent="0.3">
      <c r="A17" s="4">
        <v>16</v>
      </c>
      <c r="B17" s="1" t="s">
        <v>28</v>
      </c>
      <c r="C17" s="5" t="s">
        <v>31</v>
      </c>
      <c r="D17" s="5" t="s">
        <v>29</v>
      </c>
      <c r="E17" s="5" t="s">
        <v>29</v>
      </c>
      <c r="F17" s="5" t="s">
        <v>29</v>
      </c>
      <c r="G17" s="5" t="s">
        <v>29</v>
      </c>
      <c r="H17" s="5" t="s">
        <v>29</v>
      </c>
      <c r="I17" s="4" t="s">
        <v>29</v>
      </c>
      <c r="J17" s="4" t="s">
        <v>29</v>
      </c>
      <c r="K17" s="4" t="s">
        <v>29</v>
      </c>
      <c r="L17" s="4" t="s">
        <v>29</v>
      </c>
      <c r="M17" s="4" t="s">
        <v>29</v>
      </c>
      <c r="N17" s="4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40C2-462E-45E1-B68B-B6B8A79A3BC3}">
  <dimension ref="A1:N17"/>
  <sheetViews>
    <sheetView workbookViewId="0">
      <selection activeCell="P13" sqref="P13"/>
    </sheetView>
  </sheetViews>
  <sheetFormatPr defaultRowHeight="14.4" x14ac:dyDescent="0.3"/>
  <cols>
    <col min="1" max="1" width="5" bestFit="1" customWidth="1"/>
    <col min="2" max="2" width="36.77734375" bestFit="1" customWidth="1"/>
    <col min="3" max="14" width="10.77734375" customWidth="1"/>
  </cols>
  <sheetData>
    <row r="1" spans="1:14" ht="40.049999999999997" customHeigh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9.95" customHeight="1" x14ac:dyDescent="0.3">
      <c r="A2" s="4">
        <v>1</v>
      </c>
      <c r="B2" s="1" t="s">
        <v>14</v>
      </c>
      <c r="C2" s="5">
        <v>7599</v>
      </c>
      <c r="D2" s="5">
        <v>7277</v>
      </c>
      <c r="E2" s="5">
        <v>5864</v>
      </c>
      <c r="F2" s="5">
        <v>9657</v>
      </c>
      <c r="G2" s="6">
        <v>8932</v>
      </c>
      <c r="H2" s="5">
        <v>8397</v>
      </c>
      <c r="I2" s="6">
        <v>10427</v>
      </c>
      <c r="J2" s="6">
        <v>10130</v>
      </c>
      <c r="K2" s="6">
        <v>10401</v>
      </c>
      <c r="L2" s="6">
        <v>12289</v>
      </c>
      <c r="M2" s="6">
        <v>10401</v>
      </c>
      <c r="N2" s="14">
        <v>8539</v>
      </c>
    </row>
    <row r="3" spans="1:14" ht="19.95" customHeight="1" x14ac:dyDescent="0.3">
      <c r="A3" s="4">
        <v>2</v>
      </c>
      <c r="B3" s="1" t="s">
        <v>15</v>
      </c>
      <c r="C3" s="5">
        <v>450</v>
      </c>
      <c r="D3" s="5">
        <v>550</v>
      </c>
      <c r="E3" s="5">
        <v>500</v>
      </c>
      <c r="F3" s="5">
        <v>500</v>
      </c>
      <c r="G3" s="6">
        <v>200</v>
      </c>
      <c r="H3" s="5">
        <v>200</v>
      </c>
      <c r="I3" s="6">
        <v>300</v>
      </c>
      <c r="J3" s="6">
        <v>250</v>
      </c>
      <c r="K3" s="6">
        <v>100</v>
      </c>
      <c r="L3" s="6">
        <v>88</v>
      </c>
      <c r="M3" s="6">
        <v>100</v>
      </c>
      <c r="N3" s="6">
        <v>60</v>
      </c>
    </row>
    <row r="4" spans="1:14" ht="19.95" customHeight="1" x14ac:dyDescent="0.3">
      <c r="A4" s="4">
        <v>3</v>
      </c>
      <c r="B4" s="1" t="s">
        <v>16</v>
      </c>
      <c r="C4" s="5">
        <v>65</v>
      </c>
      <c r="D4" s="5">
        <v>67</v>
      </c>
      <c r="E4" s="5">
        <v>65</v>
      </c>
      <c r="F4" s="5">
        <v>70</v>
      </c>
      <c r="G4" s="6">
        <v>70</v>
      </c>
      <c r="H4" s="5">
        <v>68</v>
      </c>
      <c r="I4" s="6">
        <v>201</v>
      </c>
      <c r="J4" s="6">
        <v>206</v>
      </c>
      <c r="K4" s="6">
        <v>202</v>
      </c>
      <c r="L4" s="6">
        <v>216</v>
      </c>
      <c r="M4" s="6">
        <v>202</v>
      </c>
      <c r="N4" s="6">
        <v>226</v>
      </c>
    </row>
    <row r="5" spans="1:14" ht="19.95" customHeight="1" x14ac:dyDescent="0.3">
      <c r="A5" s="4">
        <v>4</v>
      </c>
      <c r="B5" s="1" t="s">
        <v>17</v>
      </c>
      <c r="C5" s="5">
        <v>5</v>
      </c>
      <c r="D5" s="5">
        <v>11</v>
      </c>
      <c r="E5" s="5">
        <v>3</v>
      </c>
      <c r="F5" s="5">
        <v>10</v>
      </c>
      <c r="G5" s="6">
        <v>8</v>
      </c>
      <c r="H5" s="5">
        <v>8</v>
      </c>
      <c r="I5" s="6">
        <v>15</v>
      </c>
      <c r="J5" s="6">
        <v>20</v>
      </c>
      <c r="K5" s="6">
        <v>20</v>
      </c>
      <c r="L5" s="6">
        <v>30</v>
      </c>
      <c r="M5" s="6">
        <v>20</v>
      </c>
      <c r="N5" s="6">
        <v>40</v>
      </c>
    </row>
    <row r="6" spans="1:14" ht="19.95" customHeight="1" x14ac:dyDescent="0.3">
      <c r="A6" s="4">
        <v>5</v>
      </c>
      <c r="B6" s="1" t="s">
        <v>18</v>
      </c>
      <c r="C6" s="7">
        <v>0.92</v>
      </c>
      <c r="D6" s="7">
        <v>0.84</v>
      </c>
      <c r="E6" s="7">
        <v>0.95</v>
      </c>
      <c r="F6" s="7">
        <v>0.87</v>
      </c>
      <c r="G6" s="12">
        <v>0.87</v>
      </c>
      <c r="H6" s="5">
        <v>88.3</v>
      </c>
      <c r="I6" s="8">
        <v>0.92500000000000004</v>
      </c>
      <c r="J6" s="8">
        <v>0.92200000000000004</v>
      </c>
      <c r="K6" s="8">
        <v>0.89100000000000001</v>
      </c>
      <c r="L6" s="12">
        <v>0.86</v>
      </c>
      <c r="M6" s="8">
        <v>0.89100000000000001</v>
      </c>
      <c r="N6" s="8">
        <v>0.82299999999999995</v>
      </c>
    </row>
    <row r="7" spans="1:14" ht="19.95" customHeight="1" x14ac:dyDescent="0.3">
      <c r="A7" s="4">
        <v>6</v>
      </c>
      <c r="B7" s="1" t="s">
        <v>19</v>
      </c>
      <c r="C7" s="5">
        <v>8</v>
      </c>
      <c r="D7" s="5">
        <v>16</v>
      </c>
      <c r="E7" s="5">
        <v>22</v>
      </c>
      <c r="F7" s="5">
        <v>6</v>
      </c>
      <c r="G7" s="6">
        <v>5</v>
      </c>
      <c r="H7" s="5">
        <v>6</v>
      </c>
      <c r="I7" s="6">
        <v>10</v>
      </c>
      <c r="J7" s="6">
        <v>19</v>
      </c>
      <c r="K7" s="6">
        <v>19</v>
      </c>
      <c r="L7" s="6">
        <v>14</v>
      </c>
      <c r="M7" s="6">
        <v>19</v>
      </c>
      <c r="N7" s="6">
        <v>11</v>
      </c>
    </row>
    <row r="8" spans="1:14" ht="19.95" customHeight="1" x14ac:dyDescent="0.3">
      <c r="A8" s="4">
        <v>7</v>
      </c>
      <c r="B8" s="1" t="s">
        <v>20</v>
      </c>
      <c r="C8" s="5">
        <v>8</v>
      </c>
      <c r="D8" s="5">
        <v>16</v>
      </c>
      <c r="E8" s="5">
        <v>22</v>
      </c>
      <c r="F8" s="5">
        <v>6</v>
      </c>
      <c r="G8" s="6">
        <v>5</v>
      </c>
      <c r="H8" s="5">
        <v>6</v>
      </c>
      <c r="I8" s="6">
        <v>10</v>
      </c>
      <c r="J8" s="6">
        <v>19</v>
      </c>
      <c r="K8" s="6">
        <v>19</v>
      </c>
      <c r="L8" s="6">
        <v>14</v>
      </c>
      <c r="M8" s="6">
        <v>19</v>
      </c>
      <c r="N8" s="6">
        <v>11</v>
      </c>
    </row>
    <row r="9" spans="1:14" ht="19.95" customHeight="1" x14ac:dyDescent="0.3">
      <c r="A9" s="4">
        <v>8</v>
      </c>
      <c r="B9" s="1" t="s">
        <v>21</v>
      </c>
      <c r="C9" s="5">
        <v>0</v>
      </c>
      <c r="D9" s="5">
        <v>0</v>
      </c>
      <c r="E9" s="5">
        <v>0</v>
      </c>
      <c r="F9" s="5">
        <v>0</v>
      </c>
      <c r="G9" s="6">
        <v>0</v>
      </c>
      <c r="H9" s="5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9.95" customHeight="1" x14ac:dyDescent="0.3">
      <c r="A10" s="4">
        <v>9</v>
      </c>
      <c r="B10" s="1" t="s">
        <v>32</v>
      </c>
      <c r="C10" s="10">
        <f>C8/C7</f>
        <v>1</v>
      </c>
      <c r="D10" s="10">
        <f t="shared" ref="D10:N10" si="0">D8/D7</f>
        <v>1</v>
      </c>
      <c r="E10" s="10">
        <f t="shared" si="0"/>
        <v>1</v>
      </c>
      <c r="F10" s="10">
        <f t="shared" si="0"/>
        <v>1</v>
      </c>
      <c r="G10" s="10">
        <f t="shared" si="0"/>
        <v>1</v>
      </c>
      <c r="H10" s="10">
        <f t="shared" si="0"/>
        <v>1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0">
        <f t="shared" si="0"/>
        <v>1</v>
      </c>
      <c r="M10" s="10">
        <f t="shared" si="0"/>
        <v>1</v>
      </c>
      <c r="N10" s="10">
        <f t="shared" si="0"/>
        <v>1</v>
      </c>
    </row>
    <row r="11" spans="1:14" ht="19.95" customHeight="1" x14ac:dyDescent="0.3">
      <c r="A11" s="4">
        <v>10</v>
      </c>
      <c r="B11" s="1" t="s">
        <v>22</v>
      </c>
      <c r="C11" s="5">
        <v>2</v>
      </c>
      <c r="D11" s="5">
        <v>2</v>
      </c>
      <c r="E11" s="5">
        <v>2</v>
      </c>
      <c r="F11" s="5">
        <v>1</v>
      </c>
      <c r="G11" s="5">
        <v>3</v>
      </c>
      <c r="H11" s="5">
        <v>1</v>
      </c>
      <c r="I11" s="6">
        <v>1</v>
      </c>
      <c r="J11" s="6">
        <v>1</v>
      </c>
      <c r="K11" s="6">
        <v>2</v>
      </c>
      <c r="L11" s="4">
        <v>1</v>
      </c>
      <c r="M11" s="4">
        <v>2</v>
      </c>
      <c r="N11" s="4">
        <v>4</v>
      </c>
    </row>
    <row r="12" spans="1:14" ht="19.95" customHeight="1" x14ac:dyDescent="0.3">
      <c r="A12" s="4">
        <v>11</v>
      </c>
      <c r="B12" s="1" t="s">
        <v>23</v>
      </c>
      <c r="C12" s="5">
        <v>0</v>
      </c>
      <c r="D12" s="5">
        <v>0</v>
      </c>
      <c r="E12" s="5">
        <v>2</v>
      </c>
      <c r="F12" s="5">
        <v>2</v>
      </c>
      <c r="G12" s="5">
        <v>0</v>
      </c>
      <c r="H12" s="5">
        <v>0</v>
      </c>
      <c r="I12" s="6">
        <v>0</v>
      </c>
      <c r="J12" s="6">
        <v>0</v>
      </c>
      <c r="K12" s="6">
        <v>0</v>
      </c>
      <c r="L12" s="4">
        <v>1</v>
      </c>
      <c r="M12" s="4">
        <v>0</v>
      </c>
      <c r="N12" s="4">
        <v>2</v>
      </c>
    </row>
    <row r="13" spans="1:14" ht="19.95" customHeight="1" x14ac:dyDescent="0.3">
      <c r="A13" s="4">
        <v>12</v>
      </c>
      <c r="B13" s="1" t="s">
        <v>24</v>
      </c>
      <c r="C13" s="5">
        <v>2</v>
      </c>
      <c r="D13" s="5">
        <v>2</v>
      </c>
      <c r="E13" s="5">
        <v>0</v>
      </c>
      <c r="F13" s="5">
        <v>0</v>
      </c>
      <c r="G13" s="5">
        <v>1</v>
      </c>
      <c r="H13" s="5">
        <v>0</v>
      </c>
      <c r="I13" s="6">
        <v>0</v>
      </c>
      <c r="J13" s="6">
        <v>0</v>
      </c>
      <c r="K13" s="6">
        <v>0</v>
      </c>
      <c r="L13" s="4">
        <v>0</v>
      </c>
      <c r="M13" s="4">
        <v>0</v>
      </c>
      <c r="N13" s="4">
        <v>0</v>
      </c>
    </row>
    <row r="14" spans="1:14" ht="19.95" customHeight="1" x14ac:dyDescent="0.3">
      <c r="A14" s="4">
        <v>13</v>
      </c>
      <c r="B14" s="1" t="s">
        <v>25</v>
      </c>
      <c r="C14" s="5">
        <v>1</v>
      </c>
      <c r="D14" s="5">
        <v>0</v>
      </c>
      <c r="E14" s="5">
        <v>0</v>
      </c>
      <c r="F14" s="5">
        <v>0</v>
      </c>
      <c r="G14" s="5">
        <v>3</v>
      </c>
      <c r="H14" s="5">
        <v>3</v>
      </c>
      <c r="I14" s="6">
        <v>3</v>
      </c>
      <c r="J14" s="6">
        <v>0</v>
      </c>
      <c r="K14" s="6">
        <v>0</v>
      </c>
      <c r="L14" s="4">
        <v>4</v>
      </c>
      <c r="M14" s="4">
        <v>0</v>
      </c>
      <c r="N14" s="4">
        <v>0</v>
      </c>
    </row>
    <row r="15" spans="1:14" ht="19.95" customHeight="1" x14ac:dyDescent="0.3">
      <c r="A15" s="4">
        <v>14</v>
      </c>
      <c r="B15" s="1" t="s">
        <v>26</v>
      </c>
      <c r="C15" s="5">
        <v>2</v>
      </c>
      <c r="D15" s="5">
        <v>4</v>
      </c>
      <c r="E15" s="5">
        <v>4</v>
      </c>
      <c r="F15" s="5">
        <v>4</v>
      </c>
      <c r="G15" s="5">
        <v>0</v>
      </c>
      <c r="H15" s="5">
        <v>0</v>
      </c>
      <c r="I15" s="6">
        <v>0</v>
      </c>
      <c r="J15" s="6">
        <v>0</v>
      </c>
      <c r="K15" s="6">
        <v>0</v>
      </c>
      <c r="L15" s="4">
        <v>0</v>
      </c>
      <c r="M15" s="4">
        <v>0</v>
      </c>
      <c r="N15" s="4">
        <v>0</v>
      </c>
    </row>
    <row r="16" spans="1:14" ht="19.95" customHeight="1" x14ac:dyDescent="0.3">
      <c r="A16" s="4">
        <v>15</v>
      </c>
      <c r="B16" s="1" t="s">
        <v>27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6">
        <v>0</v>
      </c>
      <c r="J16" s="6">
        <v>0</v>
      </c>
      <c r="K16" s="6">
        <v>0</v>
      </c>
      <c r="L16" s="4">
        <v>0</v>
      </c>
      <c r="M16" s="4">
        <v>0</v>
      </c>
      <c r="N16" s="4">
        <v>0</v>
      </c>
    </row>
    <row r="17" spans="1:14" ht="19.95" customHeight="1" x14ac:dyDescent="0.3">
      <c r="A17" s="4">
        <v>16</v>
      </c>
      <c r="B17" s="1" t="s">
        <v>28</v>
      </c>
      <c r="C17" s="5" t="s">
        <v>29</v>
      </c>
      <c r="D17" s="5" t="s">
        <v>29</v>
      </c>
      <c r="E17" s="5" t="s">
        <v>29</v>
      </c>
      <c r="F17" s="5" t="s">
        <v>29</v>
      </c>
      <c r="G17" s="5" t="s">
        <v>29</v>
      </c>
      <c r="H17" s="5" t="s">
        <v>29</v>
      </c>
      <c r="I17" s="4" t="s">
        <v>29</v>
      </c>
      <c r="J17" s="4" t="s">
        <v>29</v>
      </c>
      <c r="K17" s="4" t="s">
        <v>29</v>
      </c>
      <c r="L17" s="4" t="s">
        <v>29</v>
      </c>
      <c r="M17" s="4" t="s">
        <v>29</v>
      </c>
      <c r="N17" s="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E5B1-15B9-428A-B29A-5835ED708459}">
  <dimension ref="A1:N16"/>
  <sheetViews>
    <sheetView topLeftCell="A4" workbookViewId="0">
      <selection activeCell="C21" sqref="C21"/>
    </sheetView>
  </sheetViews>
  <sheetFormatPr defaultRowHeight="14.4" x14ac:dyDescent="0.3"/>
  <cols>
    <col min="1" max="1" width="5" bestFit="1" customWidth="1"/>
    <col min="2" max="2" width="36.77734375" bestFit="1" customWidth="1"/>
    <col min="3" max="14" width="10.77734375" customWidth="1"/>
  </cols>
  <sheetData>
    <row r="1" spans="1:14" ht="40.049999999999997" customHeigh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9.95" customHeight="1" x14ac:dyDescent="0.3">
      <c r="A2" s="4">
        <v>1</v>
      </c>
      <c r="B2" s="1" t="s">
        <v>14</v>
      </c>
      <c r="C2" s="5">
        <v>3512</v>
      </c>
      <c r="D2" s="5">
        <v>3183</v>
      </c>
      <c r="E2" s="5">
        <v>2558</v>
      </c>
      <c r="F2" s="5">
        <v>3055</v>
      </c>
      <c r="G2" s="6">
        <v>3191</v>
      </c>
      <c r="H2" s="15">
        <v>3493</v>
      </c>
      <c r="I2" s="6">
        <v>4558</v>
      </c>
      <c r="J2" s="6">
        <v>4558</v>
      </c>
      <c r="K2" s="6">
        <v>4183</v>
      </c>
      <c r="L2" s="6">
        <v>3928</v>
      </c>
      <c r="M2" s="6">
        <v>4183</v>
      </c>
      <c r="N2" s="6">
        <v>3480</v>
      </c>
    </row>
    <row r="3" spans="1:14" ht="19.95" customHeight="1" x14ac:dyDescent="0.3">
      <c r="A3" s="4">
        <v>2</v>
      </c>
      <c r="B3" s="1" t="s">
        <v>15</v>
      </c>
      <c r="C3" s="5">
        <v>200</v>
      </c>
      <c r="D3" s="5">
        <v>250</v>
      </c>
      <c r="E3" s="5">
        <v>180</v>
      </c>
      <c r="F3" s="5">
        <v>90</v>
      </c>
      <c r="G3" s="6">
        <v>60</v>
      </c>
      <c r="H3" s="15">
        <v>60</v>
      </c>
      <c r="I3" s="6">
        <v>35</v>
      </c>
      <c r="J3" s="6">
        <v>60</v>
      </c>
      <c r="K3" s="6">
        <v>20</v>
      </c>
      <c r="L3" s="6">
        <v>26</v>
      </c>
      <c r="M3" s="6">
        <v>20</v>
      </c>
      <c r="N3" s="6">
        <v>30</v>
      </c>
    </row>
    <row r="4" spans="1:14" ht="19.95" customHeight="1" x14ac:dyDescent="0.3">
      <c r="A4" s="4">
        <v>3</v>
      </c>
      <c r="B4" s="1" t="s">
        <v>16</v>
      </c>
      <c r="C4" s="5">
        <v>60</v>
      </c>
      <c r="D4" s="5">
        <v>56</v>
      </c>
      <c r="E4" s="5">
        <v>62</v>
      </c>
      <c r="F4" s="5">
        <v>60</v>
      </c>
      <c r="G4" s="6">
        <v>60</v>
      </c>
      <c r="H4" s="15">
        <v>60</v>
      </c>
      <c r="I4" s="6">
        <v>62</v>
      </c>
      <c r="J4" s="6">
        <v>64</v>
      </c>
      <c r="K4" s="6">
        <v>60</v>
      </c>
      <c r="L4" s="6">
        <v>62</v>
      </c>
      <c r="M4" s="6">
        <v>60</v>
      </c>
      <c r="N4" s="6">
        <v>62</v>
      </c>
    </row>
    <row r="5" spans="1:14" ht="19.95" customHeight="1" x14ac:dyDescent="0.3">
      <c r="A5" s="4">
        <v>4</v>
      </c>
      <c r="B5" s="1" t="s">
        <v>17</v>
      </c>
      <c r="C5" s="5">
        <v>0</v>
      </c>
      <c r="D5" s="5">
        <v>0</v>
      </c>
      <c r="E5" s="5">
        <v>0</v>
      </c>
      <c r="F5" s="5">
        <v>0</v>
      </c>
      <c r="G5" s="6">
        <v>0</v>
      </c>
      <c r="H5" s="15">
        <v>0</v>
      </c>
      <c r="I5" s="6">
        <v>0</v>
      </c>
      <c r="J5" s="6">
        <v>2</v>
      </c>
      <c r="K5" s="6">
        <v>0</v>
      </c>
      <c r="L5" s="6">
        <v>0</v>
      </c>
      <c r="M5" s="6">
        <v>0</v>
      </c>
      <c r="N5" s="6">
        <v>0</v>
      </c>
    </row>
    <row r="6" spans="1:14" ht="19.95" customHeight="1" x14ac:dyDescent="0.3">
      <c r="A6" s="4">
        <v>5</v>
      </c>
      <c r="B6" s="1" t="s">
        <v>18</v>
      </c>
      <c r="C6" s="7">
        <v>1</v>
      </c>
      <c r="D6" s="7">
        <v>1</v>
      </c>
      <c r="E6" s="7">
        <v>1</v>
      </c>
      <c r="F6" s="7">
        <v>1</v>
      </c>
      <c r="G6" s="6">
        <v>100</v>
      </c>
      <c r="H6" s="15">
        <v>100</v>
      </c>
      <c r="I6" s="12">
        <v>1</v>
      </c>
      <c r="J6" s="12">
        <v>0.96</v>
      </c>
      <c r="K6" s="12">
        <v>1</v>
      </c>
      <c r="L6" s="6">
        <v>0</v>
      </c>
      <c r="M6" s="12">
        <v>1</v>
      </c>
      <c r="N6" s="12">
        <v>1</v>
      </c>
    </row>
    <row r="7" spans="1:14" ht="19.95" customHeight="1" x14ac:dyDescent="0.3">
      <c r="A7" s="4">
        <v>6</v>
      </c>
      <c r="B7" s="1" t="s">
        <v>19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15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9.95" customHeight="1" x14ac:dyDescent="0.3">
      <c r="A8" s="4">
        <v>7</v>
      </c>
      <c r="B8" s="1" t="s">
        <v>20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15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</row>
    <row r="9" spans="1:14" ht="19.95" customHeight="1" x14ac:dyDescent="0.3">
      <c r="A9" s="4">
        <v>8</v>
      </c>
      <c r="B9" s="1" t="s">
        <v>21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15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9.95" customHeight="1" x14ac:dyDescent="0.3">
      <c r="A10" s="4">
        <v>9</v>
      </c>
      <c r="B10" s="1" t="s">
        <v>22</v>
      </c>
      <c r="C10" s="5"/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5</v>
      </c>
    </row>
    <row r="11" spans="1:14" ht="19.95" customHeight="1" x14ac:dyDescent="0.3">
      <c r="A11" s="4">
        <v>10</v>
      </c>
      <c r="B11" s="1" t="s">
        <v>23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15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9.95" customHeight="1" x14ac:dyDescent="0.3">
      <c r="A12" s="4">
        <v>11</v>
      </c>
      <c r="B12" s="1" t="s">
        <v>24</v>
      </c>
      <c r="C12" s="5">
        <v>0</v>
      </c>
      <c r="D12" s="5">
        <v>0</v>
      </c>
      <c r="E12" s="5">
        <v>0</v>
      </c>
      <c r="F12" s="5">
        <v>1</v>
      </c>
      <c r="G12" s="5">
        <v>0</v>
      </c>
      <c r="H12" s="15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5</v>
      </c>
    </row>
    <row r="13" spans="1:14" ht="19.95" customHeight="1" x14ac:dyDescent="0.3">
      <c r="A13" s="4">
        <v>12</v>
      </c>
      <c r="B13" s="1" t="s">
        <v>25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15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9.95" customHeight="1" x14ac:dyDescent="0.3">
      <c r="A14" s="4">
        <v>13</v>
      </c>
      <c r="B14" s="1" t="s">
        <v>26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15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</row>
    <row r="15" spans="1:14" ht="19.95" customHeight="1" x14ac:dyDescent="0.3">
      <c r="A15" s="4">
        <v>14</v>
      </c>
      <c r="B15" s="1" t="s">
        <v>27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15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9.95" customHeight="1" x14ac:dyDescent="0.3">
      <c r="A16" s="4">
        <v>15</v>
      </c>
      <c r="B16" s="1" t="s">
        <v>28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C7D19-484F-44E0-9FC8-DB594C392A77}">
  <dimension ref="A1:N16"/>
  <sheetViews>
    <sheetView workbookViewId="0">
      <selection activeCell="O15" sqref="O15"/>
    </sheetView>
  </sheetViews>
  <sheetFormatPr defaultRowHeight="14.4" x14ac:dyDescent="0.3"/>
  <cols>
    <col min="1" max="1" width="5" bestFit="1" customWidth="1"/>
    <col min="2" max="2" width="42.44140625" bestFit="1" customWidth="1"/>
    <col min="3" max="14" width="10.77734375" customWidth="1"/>
  </cols>
  <sheetData>
    <row r="1" spans="1:14" ht="40.049999999999997" customHeigh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9.95" customHeight="1" x14ac:dyDescent="0.3">
      <c r="A2" s="4">
        <v>1</v>
      </c>
      <c r="B2" s="1" t="s">
        <v>14</v>
      </c>
      <c r="C2" s="5">
        <v>59</v>
      </c>
      <c r="D2" s="5">
        <v>54</v>
      </c>
      <c r="E2" s="5">
        <v>41</v>
      </c>
      <c r="F2" s="5">
        <v>60</v>
      </c>
      <c r="G2" s="5">
        <v>61</v>
      </c>
      <c r="H2" s="5">
        <v>44</v>
      </c>
      <c r="I2" s="6">
        <v>53</v>
      </c>
      <c r="J2" s="6">
        <v>50</v>
      </c>
      <c r="K2" s="6">
        <v>52</v>
      </c>
      <c r="L2" s="6">
        <v>50</v>
      </c>
      <c r="M2" s="6">
        <v>52</v>
      </c>
      <c r="N2" s="6">
        <v>44</v>
      </c>
    </row>
    <row r="3" spans="1:14" ht="19.95" customHeight="1" x14ac:dyDescent="0.3">
      <c r="A3" s="4">
        <v>2</v>
      </c>
      <c r="B3" s="1" t="s">
        <v>15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</row>
    <row r="4" spans="1:14" ht="19.95" customHeight="1" x14ac:dyDescent="0.3">
      <c r="A4" s="4">
        <v>3</v>
      </c>
      <c r="B4" s="1" t="s">
        <v>16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ht="19.95" customHeight="1" x14ac:dyDescent="0.3">
      <c r="A5" s="4">
        <v>4</v>
      </c>
      <c r="B5" s="1" t="s">
        <v>17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9.95" customHeight="1" x14ac:dyDescent="0.3">
      <c r="A6" s="4">
        <v>5</v>
      </c>
      <c r="B6" s="1" t="s">
        <v>18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</row>
    <row r="7" spans="1:14" ht="19.95" customHeight="1" x14ac:dyDescent="0.3">
      <c r="A7" s="4">
        <v>6</v>
      </c>
      <c r="B7" s="1" t="s">
        <v>19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9.95" customHeight="1" x14ac:dyDescent="0.3">
      <c r="A8" s="4">
        <v>7</v>
      </c>
      <c r="B8" s="1" t="s">
        <v>20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</row>
    <row r="9" spans="1:14" ht="19.95" customHeight="1" x14ac:dyDescent="0.3">
      <c r="A9" s="4">
        <v>8</v>
      </c>
      <c r="B9" s="1" t="s">
        <v>21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9.95" customHeight="1" x14ac:dyDescent="0.3">
      <c r="A10" s="4">
        <v>9</v>
      </c>
      <c r="B10" s="1" t="s">
        <v>22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</row>
    <row r="11" spans="1:14" ht="19.95" customHeight="1" x14ac:dyDescent="0.3">
      <c r="A11" s="4">
        <v>10</v>
      </c>
      <c r="B11" s="1" t="s">
        <v>23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9.95" customHeight="1" x14ac:dyDescent="0.3">
      <c r="A12" s="4">
        <v>11</v>
      </c>
      <c r="B12" s="1" t="s">
        <v>24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ht="19.95" customHeight="1" x14ac:dyDescent="0.3">
      <c r="A13" s="4">
        <v>12</v>
      </c>
      <c r="B13" s="1" t="s">
        <v>25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9.95" customHeight="1" x14ac:dyDescent="0.3">
      <c r="A14" s="4">
        <v>13</v>
      </c>
      <c r="B14" s="1" t="s">
        <v>26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</row>
    <row r="15" spans="1:14" ht="19.95" customHeight="1" x14ac:dyDescent="0.3">
      <c r="A15" s="4">
        <v>14</v>
      </c>
      <c r="B15" s="1" t="s">
        <v>27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9.95" customHeight="1" x14ac:dyDescent="0.3">
      <c r="A16" s="4">
        <v>15</v>
      </c>
      <c r="B16" s="1" t="s">
        <v>28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FD1E-AE5C-4B37-BD52-6EFBB15B9B47}">
  <dimension ref="A1:N16"/>
  <sheetViews>
    <sheetView tabSelected="1" workbookViewId="0">
      <selection activeCell="P15" sqref="P15"/>
    </sheetView>
  </sheetViews>
  <sheetFormatPr defaultRowHeight="14.4" x14ac:dyDescent="0.3"/>
  <cols>
    <col min="1" max="1" width="5" bestFit="1" customWidth="1"/>
    <col min="2" max="2" width="36.77734375" bestFit="1" customWidth="1"/>
    <col min="3" max="14" width="10.77734375" customWidth="1"/>
  </cols>
  <sheetData>
    <row r="1" spans="1:14" ht="40.049999999999997" customHeigh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9.95" customHeight="1" x14ac:dyDescent="0.3">
      <c r="A2" s="4">
        <v>1</v>
      </c>
      <c r="B2" s="1" t="s">
        <v>14</v>
      </c>
      <c r="C2" s="5">
        <v>176</v>
      </c>
      <c r="D2" s="5">
        <v>142</v>
      </c>
      <c r="E2" s="5">
        <v>81</v>
      </c>
      <c r="F2" s="5">
        <v>164</v>
      </c>
      <c r="G2" s="5">
        <v>219</v>
      </c>
      <c r="H2" s="5">
        <v>145</v>
      </c>
      <c r="I2" s="6">
        <v>220</v>
      </c>
      <c r="J2" s="6">
        <v>188</v>
      </c>
      <c r="K2" s="6">
        <v>172</v>
      </c>
      <c r="L2" s="6">
        <v>169</v>
      </c>
      <c r="M2" s="6">
        <v>172</v>
      </c>
      <c r="N2" s="6">
        <v>161</v>
      </c>
    </row>
    <row r="3" spans="1:14" ht="19.95" customHeight="1" x14ac:dyDescent="0.3">
      <c r="A3" s="4">
        <v>2</v>
      </c>
      <c r="B3" s="1" t="s">
        <v>15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16">
        <v>0</v>
      </c>
      <c r="J3" s="16">
        <v>0</v>
      </c>
      <c r="K3" s="6">
        <v>0</v>
      </c>
      <c r="L3" s="6">
        <v>0</v>
      </c>
      <c r="M3" s="6">
        <v>0</v>
      </c>
      <c r="N3" s="6">
        <v>0</v>
      </c>
    </row>
    <row r="4" spans="1:14" ht="19.95" customHeight="1" x14ac:dyDescent="0.3">
      <c r="A4" s="4">
        <v>3</v>
      </c>
      <c r="B4" s="1" t="s">
        <v>16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16">
        <v>0</v>
      </c>
      <c r="J4" s="16">
        <v>0</v>
      </c>
      <c r="K4" s="6">
        <v>0</v>
      </c>
      <c r="L4" s="6">
        <v>0</v>
      </c>
      <c r="M4" s="6">
        <v>0</v>
      </c>
      <c r="N4" s="6">
        <v>0</v>
      </c>
    </row>
    <row r="5" spans="1:14" ht="19.95" customHeight="1" x14ac:dyDescent="0.3">
      <c r="A5" s="4">
        <v>4</v>
      </c>
      <c r="B5" s="1" t="s">
        <v>17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16">
        <v>0</v>
      </c>
      <c r="J5" s="1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9.95" customHeight="1" x14ac:dyDescent="0.3">
      <c r="A6" s="4">
        <v>5</v>
      </c>
      <c r="B6" s="1" t="s">
        <v>18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16">
        <v>0</v>
      </c>
      <c r="J6" s="16">
        <v>0</v>
      </c>
      <c r="K6" s="6">
        <v>0</v>
      </c>
      <c r="L6" s="6">
        <v>0</v>
      </c>
      <c r="M6" s="6">
        <v>0</v>
      </c>
      <c r="N6" s="6">
        <v>0</v>
      </c>
    </row>
    <row r="7" spans="1:14" ht="19.95" customHeight="1" x14ac:dyDescent="0.3">
      <c r="A7" s="4">
        <v>6</v>
      </c>
      <c r="B7" s="1" t="s">
        <v>19</v>
      </c>
      <c r="C7" s="5">
        <v>0</v>
      </c>
      <c r="D7" s="5">
        <v>0</v>
      </c>
      <c r="E7" s="5">
        <v>0</v>
      </c>
      <c r="F7" s="5">
        <v>0</v>
      </c>
      <c r="G7" s="5">
        <v>1</v>
      </c>
      <c r="H7" s="5">
        <v>0</v>
      </c>
      <c r="I7" s="16">
        <v>0</v>
      </c>
      <c r="J7" s="16">
        <v>0</v>
      </c>
      <c r="K7" s="6">
        <v>1</v>
      </c>
      <c r="L7" s="6">
        <v>1</v>
      </c>
      <c r="M7" s="6">
        <v>0</v>
      </c>
      <c r="N7" s="6">
        <v>1</v>
      </c>
    </row>
    <row r="8" spans="1:14" ht="19.95" customHeight="1" x14ac:dyDescent="0.3">
      <c r="A8" s="4">
        <v>7</v>
      </c>
      <c r="B8" s="1" t="s">
        <v>20</v>
      </c>
      <c r="C8" s="5">
        <v>0</v>
      </c>
      <c r="D8" s="5">
        <v>0</v>
      </c>
      <c r="E8" s="5">
        <v>0</v>
      </c>
      <c r="F8" s="5">
        <v>0</v>
      </c>
      <c r="G8" s="5">
        <v>1</v>
      </c>
      <c r="H8" s="5">
        <v>0</v>
      </c>
      <c r="I8" s="16">
        <v>0</v>
      </c>
      <c r="J8" s="16">
        <v>0</v>
      </c>
      <c r="K8" s="6">
        <v>1</v>
      </c>
      <c r="L8" s="6">
        <v>1</v>
      </c>
      <c r="M8" s="6">
        <v>0</v>
      </c>
      <c r="N8" s="6">
        <v>1</v>
      </c>
    </row>
    <row r="9" spans="1:14" ht="19.95" customHeight="1" x14ac:dyDescent="0.3">
      <c r="A9" s="4">
        <v>8</v>
      </c>
      <c r="B9" s="1" t="s">
        <v>21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16">
        <v>0</v>
      </c>
      <c r="J9" s="1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9.95" customHeight="1" x14ac:dyDescent="0.3">
      <c r="A10" s="4">
        <v>9</v>
      </c>
      <c r="B10" s="1" t="s">
        <v>22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</row>
    <row r="11" spans="1:14" ht="19.95" customHeight="1" x14ac:dyDescent="0.3">
      <c r="A11" s="4">
        <v>10</v>
      </c>
      <c r="B11" s="1" t="s">
        <v>23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9.95" customHeight="1" x14ac:dyDescent="0.3">
      <c r="A12" s="4">
        <v>11</v>
      </c>
      <c r="B12" s="1" t="s">
        <v>24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ht="19.95" customHeight="1" x14ac:dyDescent="0.3">
      <c r="A13" s="4">
        <v>12</v>
      </c>
      <c r="B13" s="1" t="s">
        <v>25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9.95" customHeight="1" x14ac:dyDescent="0.3">
      <c r="A14" s="4">
        <v>13</v>
      </c>
      <c r="B14" s="1" t="s">
        <v>26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</row>
    <row r="15" spans="1:14" ht="19.95" customHeight="1" x14ac:dyDescent="0.3">
      <c r="A15" s="4">
        <v>14</v>
      </c>
      <c r="B15" s="1" t="s">
        <v>27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9.95" customHeight="1" x14ac:dyDescent="0.3">
      <c r="A16" s="4">
        <v>15</v>
      </c>
      <c r="B16" s="1" t="s">
        <v>28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Hematology</vt:lpstr>
      <vt:lpstr>Special Chemistry</vt:lpstr>
      <vt:lpstr>Routine Chemistry</vt:lpstr>
      <vt:lpstr>Microbiology</vt:lpstr>
      <vt:lpstr>Molecular Pathology</vt:lpstr>
      <vt:lpstr>Histopathology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AHF</dc:creator>
  <cp:lastModifiedBy>Asif Haleem Khan - Senior Officer</cp:lastModifiedBy>
  <dcterms:created xsi:type="dcterms:W3CDTF">2015-06-05T18:17:20Z</dcterms:created>
  <dcterms:modified xsi:type="dcterms:W3CDTF">2026-02-12T07:43:16Z</dcterms:modified>
</cp:coreProperties>
</file>