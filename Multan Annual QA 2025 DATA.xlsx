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Asif Haleem Khan AHF DATA 1-1-2025 - Copy\Complie Annual QA DATA OF Year 2025\"/>
    </mc:Choice>
  </mc:AlternateContent>
  <xr:revisionPtr revIDLastSave="0" documentId="13_ncr:1_{4533A195-F446-4D17-B595-8C74E5B9278E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Hematology" sheetId="1" r:id="rId1"/>
    <sheet name="Special Chemistry" sheetId="2" r:id="rId2"/>
    <sheet name="Routine Chemistry" sheetId="3" r:id="rId3"/>
    <sheet name="Microbiology" sheetId="4" r:id="rId4"/>
    <sheet name="Molecular Pathology" sheetId="5" r:id="rId5"/>
    <sheet name="Histopathology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4" l="1"/>
  <c r="E10" i="4"/>
  <c r="F10" i="4"/>
  <c r="G10" i="4"/>
  <c r="H10" i="4"/>
  <c r="I10" i="4"/>
  <c r="J10" i="4"/>
  <c r="K10" i="4"/>
  <c r="L10" i="4"/>
  <c r="M10" i="4"/>
  <c r="N10" i="4"/>
  <c r="C10" i="4"/>
  <c r="D10" i="3"/>
  <c r="E10" i="3"/>
  <c r="F10" i="3"/>
  <c r="G10" i="3"/>
  <c r="H10" i="3"/>
  <c r="I10" i="3"/>
  <c r="J10" i="3"/>
  <c r="K10" i="3"/>
  <c r="L10" i="3"/>
  <c r="M10" i="3"/>
  <c r="N10" i="3"/>
  <c r="C10" i="3"/>
  <c r="N10" i="2"/>
  <c r="D10" i="1"/>
  <c r="E10" i="1"/>
  <c r="F10" i="1"/>
  <c r="G10" i="1"/>
  <c r="H10" i="1"/>
  <c r="I10" i="1"/>
  <c r="J10" i="1"/>
  <c r="K10" i="1"/>
  <c r="L10" i="1"/>
  <c r="M10" i="1"/>
  <c r="C10" i="1"/>
</calcChain>
</file>

<file path=xl/sharedStrings.xml><?xml version="1.0" encoding="utf-8"?>
<sst xmlns="http://schemas.openxmlformats.org/spreadsheetml/2006/main" count="210" uniqueCount="33">
  <si>
    <t>Sr. #</t>
  </si>
  <si>
    <t>Name of Indicator</t>
  </si>
  <si>
    <t>Total Number Of Specimens</t>
  </si>
  <si>
    <t>Total STAT specimen</t>
  </si>
  <si>
    <t>Total Number of QC</t>
  </si>
  <si>
    <t>Total number of Failed QC</t>
  </si>
  <si>
    <t>% of Acceptance of QC</t>
  </si>
  <si>
    <t>Total Number of Panic results</t>
  </si>
  <si>
    <t>Total number of Informed panic results</t>
  </si>
  <si>
    <t>Total number of Not Informed panic results</t>
  </si>
  <si>
    <t>Total number of rejected samples</t>
  </si>
  <si>
    <t>Total number of Hemolysis samples</t>
  </si>
  <si>
    <t>Total number of unsatisfactory samples</t>
  </si>
  <si>
    <t>Total number of LOT verification</t>
  </si>
  <si>
    <t>Total number of shipment verifications</t>
  </si>
  <si>
    <t>Total Number of QC LOT verification</t>
  </si>
  <si>
    <t>External Quality Assurance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</si>
  <si>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</si>
  <si>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</si>
  <si>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</si>
  <si>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</si>
  <si>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</si>
  <si>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</si>
  <si>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</si>
  <si>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</si>
  <si>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</si>
  <si>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</si>
  <si>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</si>
  <si>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</si>
  <si>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Yes</t>
  </si>
  <si>
    <t>No</t>
  </si>
  <si>
    <t>`769</t>
  </si>
  <si>
    <t>% Of Informed Panic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</si>
</sst>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9" fontId="4" fillId="2" borderId="1" xfId="0" applyNumberFormat="1" applyFont="1" applyFill="1" applyBorder="1" applyAlignment="1">
      <alignment horizontal="center" vertical="center" wrapText="1"/>
    </xf>
    <xf numFmtId="9" fontId="5" fillId="2" borderId="1" xfId="0" applyNumberFormat="1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9" fontId="4" fillId="2" borderId="1" xfId="0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0" fontId="4" fillId="2" borderId="1" xfId="2" applyNumberFormat="1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/>
    </xf>
    <xf numFmtId="10" fontId="4" fillId="2" borderId="1" xfId="2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 wrapText="1"/>
    </xf>
    <xf numFmtId="9" fontId="4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wrapText="1"/>
    </xf>
    <xf numFmtId="9" fontId="4" fillId="2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3">
    <cellStyle name="Comma 2" xfId="1" xr:uid="{9C784DCD-D700-4FBB-BE4F-C0EC6AEE05D9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zoomScale="102" zoomScaleNormal="102" workbookViewId="0">
      <selection activeCell="B19" sqref="B19"/>
    </sheetView>
  </sheetViews>
  <sheetFormatPr defaultRowHeight="14.4" x14ac:dyDescent="0.3"/>
  <cols>
    <col min="2" max="2" width="42.44140625" bestFit="1" customWidth="1"/>
    <col min="3" max="14" width="10.77734375" customWidth="1"/>
  </cols>
  <sheetData>
    <row r="1" spans="1:14" s="1" customFormat="1" ht="40.049999999999997" customHeight="1" x14ac:dyDescent="0.3">
      <c r="A1" s="2" t="s">
        <v>0</v>
      </c>
      <c r="B1" s="10" t="s">
        <v>1</v>
      </c>
      <c r="C1" s="2" t="s">
        <v>27</v>
      </c>
      <c r="D1" s="2" t="s">
        <v>28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</row>
    <row r="2" spans="1:14" ht="19.95" customHeight="1" x14ac:dyDescent="0.3">
      <c r="A2" s="4">
        <v>1</v>
      </c>
      <c r="B2" s="11" t="s">
        <v>2</v>
      </c>
      <c r="C2" s="3">
        <v>8500</v>
      </c>
      <c r="D2" s="3">
        <v>10500</v>
      </c>
      <c r="E2" s="3">
        <v>9500</v>
      </c>
      <c r="F2" s="3">
        <v>12300</v>
      </c>
      <c r="G2" s="5">
        <v>11567</v>
      </c>
      <c r="H2" s="3">
        <v>10200</v>
      </c>
      <c r="I2" s="4">
        <v>13234</v>
      </c>
      <c r="J2" s="4">
        <v>13025</v>
      </c>
      <c r="K2" s="4">
        <v>11770</v>
      </c>
      <c r="L2" s="4">
        <v>15249</v>
      </c>
      <c r="M2" s="5">
        <v>26679</v>
      </c>
      <c r="N2" s="5">
        <v>13126</v>
      </c>
    </row>
    <row r="3" spans="1:14" ht="19.95" customHeight="1" x14ac:dyDescent="0.3">
      <c r="A3" s="4">
        <v>2</v>
      </c>
      <c r="B3" s="11" t="s">
        <v>3</v>
      </c>
      <c r="C3" s="3">
        <v>60</v>
      </c>
      <c r="D3" s="3">
        <v>60</v>
      </c>
      <c r="E3" s="3">
        <v>61</v>
      </c>
      <c r="F3" s="3">
        <v>63</v>
      </c>
      <c r="G3" s="5">
        <v>59</v>
      </c>
      <c r="H3" s="3">
        <v>45</v>
      </c>
      <c r="I3" s="4">
        <v>45</v>
      </c>
      <c r="J3" s="4">
        <v>49</v>
      </c>
      <c r="K3" s="6">
        <v>49</v>
      </c>
      <c r="L3" s="6">
        <v>76</v>
      </c>
      <c r="M3" s="5">
        <v>89</v>
      </c>
      <c r="N3" s="5">
        <v>74</v>
      </c>
    </row>
    <row r="4" spans="1:14" ht="19.95" customHeight="1" x14ac:dyDescent="0.3">
      <c r="A4" s="4">
        <v>3</v>
      </c>
      <c r="B4" s="11" t="s">
        <v>4</v>
      </c>
      <c r="C4" s="3">
        <v>196</v>
      </c>
      <c r="D4" s="3">
        <v>287</v>
      </c>
      <c r="E4" s="3">
        <v>268</v>
      </c>
      <c r="F4" s="3">
        <v>250</v>
      </c>
      <c r="G4" s="5">
        <v>217</v>
      </c>
      <c r="H4" s="3">
        <v>283</v>
      </c>
      <c r="I4" s="4">
        <v>278</v>
      </c>
      <c r="J4" s="4">
        <v>284</v>
      </c>
      <c r="K4" s="6">
        <v>276</v>
      </c>
      <c r="L4" s="6">
        <v>276</v>
      </c>
      <c r="M4" s="5">
        <v>272</v>
      </c>
      <c r="N4" s="5">
        <v>271</v>
      </c>
    </row>
    <row r="5" spans="1:14" ht="19.95" customHeight="1" x14ac:dyDescent="0.3">
      <c r="A5" s="4">
        <v>4</v>
      </c>
      <c r="B5" s="11" t="s">
        <v>5</v>
      </c>
      <c r="C5" s="3">
        <v>1</v>
      </c>
      <c r="D5" s="3">
        <v>1</v>
      </c>
      <c r="E5" s="3">
        <v>2</v>
      </c>
      <c r="F5" s="3">
        <v>3</v>
      </c>
      <c r="G5" s="5">
        <v>2</v>
      </c>
      <c r="H5" s="7">
        <v>6</v>
      </c>
      <c r="I5" s="5">
        <v>6</v>
      </c>
      <c r="J5" s="5">
        <v>10</v>
      </c>
      <c r="K5" s="5">
        <v>6</v>
      </c>
      <c r="L5" s="5">
        <v>8</v>
      </c>
      <c r="M5" s="5">
        <v>8</v>
      </c>
      <c r="N5" s="5">
        <v>4</v>
      </c>
    </row>
    <row r="6" spans="1:14" ht="19.95" customHeight="1" x14ac:dyDescent="0.3">
      <c r="A6" s="4">
        <v>5</v>
      </c>
      <c r="B6" s="11" t="s">
        <v>6</v>
      </c>
      <c r="C6" s="8">
        <v>0.99</v>
      </c>
      <c r="D6" s="8">
        <v>0.99</v>
      </c>
      <c r="E6" s="8">
        <v>0.99</v>
      </c>
      <c r="F6" s="8">
        <v>0.99</v>
      </c>
      <c r="G6" s="9">
        <v>0.99</v>
      </c>
      <c r="H6" s="8">
        <v>0.98</v>
      </c>
      <c r="I6" s="12">
        <v>0.98</v>
      </c>
      <c r="J6" s="12">
        <v>0.98</v>
      </c>
      <c r="K6" s="9">
        <v>0.99</v>
      </c>
      <c r="L6" s="9">
        <v>0.99</v>
      </c>
      <c r="M6" s="9">
        <v>0.99</v>
      </c>
      <c r="N6" s="9">
        <v>0.99</v>
      </c>
    </row>
    <row r="7" spans="1:14" ht="19.95" customHeight="1" x14ac:dyDescent="0.3">
      <c r="A7" s="4">
        <v>6</v>
      </c>
      <c r="B7" s="11" t="s">
        <v>7</v>
      </c>
      <c r="C7" s="3">
        <v>79</v>
      </c>
      <c r="D7" s="3">
        <v>52</v>
      </c>
      <c r="E7" s="3">
        <v>85</v>
      </c>
      <c r="F7" s="3">
        <v>60</v>
      </c>
      <c r="G7" s="5">
        <v>54</v>
      </c>
      <c r="H7" s="3">
        <v>114</v>
      </c>
      <c r="I7" s="13">
        <v>90</v>
      </c>
      <c r="J7" s="13">
        <v>86</v>
      </c>
      <c r="K7" s="5">
        <v>115</v>
      </c>
      <c r="L7" s="5">
        <v>51</v>
      </c>
      <c r="M7" s="5">
        <v>312</v>
      </c>
      <c r="N7" s="5">
        <v>0</v>
      </c>
    </row>
    <row r="8" spans="1:14" ht="19.95" customHeight="1" x14ac:dyDescent="0.3">
      <c r="A8" s="4">
        <v>7</v>
      </c>
      <c r="B8" s="11" t="s">
        <v>8</v>
      </c>
      <c r="C8" s="3">
        <v>71</v>
      </c>
      <c r="D8" s="3">
        <v>40</v>
      </c>
      <c r="E8" s="3">
        <v>69</v>
      </c>
      <c r="F8" s="3">
        <v>49</v>
      </c>
      <c r="G8" s="5">
        <v>37</v>
      </c>
      <c r="H8" s="3">
        <v>93</v>
      </c>
      <c r="I8" s="13">
        <v>64</v>
      </c>
      <c r="J8" s="13">
        <v>70</v>
      </c>
      <c r="K8" s="5">
        <v>85</v>
      </c>
      <c r="L8" s="5">
        <v>44</v>
      </c>
      <c r="M8" s="5">
        <v>298</v>
      </c>
      <c r="N8" s="5">
        <v>0</v>
      </c>
    </row>
    <row r="9" spans="1:14" ht="19.95" customHeight="1" x14ac:dyDescent="0.3">
      <c r="A9" s="4">
        <v>8</v>
      </c>
      <c r="B9" s="11" t="s">
        <v>9</v>
      </c>
      <c r="C9" s="3">
        <v>8</v>
      </c>
      <c r="D9" s="3">
        <v>12</v>
      </c>
      <c r="E9" s="3">
        <v>16</v>
      </c>
      <c r="F9" s="3">
        <v>11</v>
      </c>
      <c r="G9" s="5">
        <v>17</v>
      </c>
      <c r="H9" s="3">
        <v>21</v>
      </c>
      <c r="I9" s="13">
        <v>26</v>
      </c>
      <c r="J9" s="13">
        <v>16</v>
      </c>
      <c r="K9" s="5">
        <v>30</v>
      </c>
      <c r="L9" s="5">
        <v>7</v>
      </c>
      <c r="M9" s="5">
        <v>14</v>
      </c>
      <c r="N9" s="5">
        <v>0</v>
      </c>
    </row>
    <row r="10" spans="1:14" ht="19.95" customHeight="1" x14ac:dyDescent="0.3">
      <c r="A10" s="4">
        <v>9</v>
      </c>
      <c r="B10" s="11" t="s">
        <v>32</v>
      </c>
      <c r="C10" s="14">
        <f>C8/C7</f>
        <v>0.89873417721518989</v>
      </c>
      <c r="D10" s="14">
        <f t="shared" ref="D10:N10" si="0">D8/D7</f>
        <v>0.76923076923076927</v>
      </c>
      <c r="E10" s="14">
        <f t="shared" si="0"/>
        <v>0.81176470588235294</v>
      </c>
      <c r="F10" s="14">
        <f t="shared" si="0"/>
        <v>0.81666666666666665</v>
      </c>
      <c r="G10" s="14">
        <f t="shared" si="0"/>
        <v>0.68518518518518523</v>
      </c>
      <c r="H10" s="14">
        <f t="shared" si="0"/>
        <v>0.81578947368421051</v>
      </c>
      <c r="I10" s="14">
        <f t="shared" si="0"/>
        <v>0.71111111111111114</v>
      </c>
      <c r="J10" s="14">
        <f t="shared" si="0"/>
        <v>0.81395348837209303</v>
      </c>
      <c r="K10" s="14">
        <f t="shared" si="0"/>
        <v>0.73913043478260865</v>
      </c>
      <c r="L10" s="14">
        <f t="shared" si="0"/>
        <v>0.86274509803921573</v>
      </c>
      <c r="M10" s="14">
        <f t="shared" si="0"/>
        <v>0.95512820512820518</v>
      </c>
      <c r="N10" s="14">
        <v>0</v>
      </c>
    </row>
    <row r="11" spans="1:14" ht="19.95" customHeight="1" x14ac:dyDescent="0.3">
      <c r="A11" s="4">
        <v>10</v>
      </c>
      <c r="B11" s="11" t="s">
        <v>10</v>
      </c>
      <c r="C11" s="3">
        <v>3</v>
      </c>
      <c r="D11" s="3">
        <v>2</v>
      </c>
      <c r="E11" s="3">
        <v>1</v>
      </c>
      <c r="F11" s="3">
        <v>1</v>
      </c>
      <c r="G11" s="3">
        <v>15</v>
      </c>
      <c r="H11" s="7">
        <v>1</v>
      </c>
      <c r="I11" s="5">
        <v>18</v>
      </c>
      <c r="J11" s="5">
        <v>2</v>
      </c>
      <c r="K11" s="6">
        <v>3</v>
      </c>
      <c r="L11" s="6">
        <v>4</v>
      </c>
      <c r="M11" s="6">
        <v>10</v>
      </c>
      <c r="N11" s="6">
        <v>2</v>
      </c>
    </row>
    <row r="12" spans="1:14" ht="19.95" customHeight="1" x14ac:dyDescent="0.3">
      <c r="A12" s="4">
        <v>11</v>
      </c>
      <c r="B12" s="11" t="s">
        <v>11</v>
      </c>
      <c r="C12" s="3">
        <v>2</v>
      </c>
      <c r="D12" s="3">
        <v>3</v>
      </c>
      <c r="E12" s="3">
        <v>3</v>
      </c>
      <c r="F12" s="3">
        <v>3</v>
      </c>
      <c r="G12" s="3">
        <v>10</v>
      </c>
      <c r="H12" s="3">
        <v>3</v>
      </c>
      <c r="I12" s="5">
        <v>14</v>
      </c>
      <c r="J12" s="5">
        <v>6</v>
      </c>
      <c r="K12" s="6">
        <v>3</v>
      </c>
      <c r="L12" s="6">
        <v>2</v>
      </c>
      <c r="M12" s="6">
        <v>6</v>
      </c>
      <c r="N12" s="6">
        <v>2</v>
      </c>
    </row>
    <row r="13" spans="1:14" ht="19.95" customHeight="1" x14ac:dyDescent="0.3">
      <c r="A13" s="4">
        <v>12</v>
      </c>
      <c r="B13" s="11" t="s">
        <v>12</v>
      </c>
      <c r="C13" s="3">
        <v>0</v>
      </c>
      <c r="D13" s="3">
        <v>0</v>
      </c>
      <c r="E13" s="3">
        <v>1</v>
      </c>
      <c r="F13" s="3">
        <v>0</v>
      </c>
      <c r="G13" s="3">
        <v>5</v>
      </c>
      <c r="H13" s="3">
        <v>0</v>
      </c>
      <c r="I13" s="5">
        <v>0</v>
      </c>
      <c r="J13" s="5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9.95" customHeight="1" x14ac:dyDescent="0.3">
      <c r="A14" s="4">
        <v>13</v>
      </c>
      <c r="B14" s="11" t="s">
        <v>13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5">
        <v>0</v>
      </c>
      <c r="J14" s="5">
        <v>0</v>
      </c>
      <c r="K14" s="6">
        <v>0</v>
      </c>
      <c r="L14" s="6">
        <v>0</v>
      </c>
      <c r="M14" s="6">
        <v>0</v>
      </c>
      <c r="N14" s="6">
        <v>0</v>
      </c>
    </row>
    <row r="15" spans="1:14" ht="19.95" customHeight="1" x14ac:dyDescent="0.3">
      <c r="A15" s="4">
        <v>14</v>
      </c>
      <c r="B15" s="11" t="s">
        <v>14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5">
        <v>0</v>
      </c>
      <c r="J15" s="5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9.95" customHeight="1" x14ac:dyDescent="0.3">
      <c r="A16" s="4">
        <v>15</v>
      </c>
      <c r="B16" s="11" t="s">
        <v>15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5">
        <v>0</v>
      </c>
      <c r="J16" s="5">
        <v>0</v>
      </c>
      <c r="K16" s="6">
        <v>0</v>
      </c>
      <c r="L16" s="6">
        <v>0</v>
      </c>
      <c r="M16" s="6">
        <v>0</v>
      </c>
      <c r="N16" s="6">
        <v>0</v>
      </c>
    </row>
    <row r="17" spans="1:14" ht="19.95" customHeight="1" x14ac:dyDescent="0.3">
      <c r="A17" s="4">
        <v>16</v>
      </c>
      <c r="B17" s="11" t="s">
        <v>16</v>
      </c>
      <c r="C17" s="3" t="s">
        <v>29</v>
      </c>
      <c r="D17" s="3" t="s">
        <v>29</v>
      </c>
      <c r="E17" s="3" t="s">
        <v>29</v>
      </c>
      <c r="F17" s="3">
        <v>0</v>
      </c>
      <c r="G17" s="8" t="s">
        <v>29</v>
      </c>
      <c r="H17" s="3" t="s">
        <v>29</v>
      </c>
      <c r="I17" s="4" t="s">
        <v>29</v>
      </c>
      <c r="J17" s="4" t="s">
        <v>29</v>
      </c>
      <c r="K17" s="6" t="s">
        <v>29</v>
      </c>
      <c r="L17" s="6" t="s">
        <v>29</v>
      </c>
      <c r="M17" s="6" t="s">
        <v>29</v>
      </c>
      <c r="N17" s="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D2AE3-828F-40E6-8F10-7445056A5F6F}">
  <dimension ref="A1:N17"/>
  <sheetViews>
    <sheetView workbookViewId="0">
      <selection activeCell="B10" sqref="B10"/>
    </sheetView>
  </sheetViews>
  <sheetFormatPr defaultRowHeight="14.4" x14ac:dyDescent="0.3"/>
  <cols>
    <col min="2" max="2" width="42.44140625" bestFit="1" customWidth="1"/>
    <col min="3" max="14" width="10.77734375" style="22" customWidth="1"/>
  </cols>
  <sheetData>
    <row r="1" spans="1:14" ht="40.049999999999997" customHeight="1" x14ac:dyDescent="0.3">
      <c r="A1" s="2" t="s">
        <v>0</v>
      </c>
      <c r="B1" s="10" t="s">
        <v>1</v>
      </c>
      <c r="C1" s="2" t="s">
        <v>27</v>
      </c>
      <c r="D1" s="2" t="s">
        <v>28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</row>
    <row r="2" spans="1:14" ht="19.95" customHeight="1" x14ac:dyDescent="0.3">
      <c r="A2" s="4">
        <v>1</v>
      </c>
      <c r="B2" s="11" t="s">
        <v>2</v>
      </c>
      <c r="C2" s="3">
        <v>9192</v>
      </c>
      <c r="D2" s="3">
        <v>10800</v>
      </c>
      <c r="E2" s="3">
        <v>9800</v>
      </c>
      <c r="F2" s="3">
        <v>12666</v>
      </c>
      <c r="G2" s="5">
        <v>12622</v>
      </c>
      <c r="H2" s="3">
        <v>11300</v>
      </c>
      <c r="I2" s="4">
        <v>15164</v>
      </c>
      <c r="J2" s="4">
        <v>15916</v>
      </c>
      <c r="K2" s="6">
        <v>13050</v>
      </c>
      <c r="L2" s="4">
        <v>13564</v>
      </c>
      <c r="M2" s="5">
        <v>11412</v>
      </c>
      <c r="N2" s="5">
        <v>10348</v>
      </c>
    </row>
    <row r="3" spans="1:14" ht="19.95" customHeight="1" x14ac:dyDescent="0.3">
      <c r="A3" s="4">
        <v>2</v>
      </c>
      <c r="B3" s="11" t="s">
        <v>3</v>
      </c>
      <c r="C3" s="3">
        <v>0</v>
      </c>
      <c r="D3" s="3">
        <v>0</v>
      </c>
      <c r="E3" s="3">
        <v>0</v>
      </c>
      <c r="F3" s="3">
        <v>0</v>
      </c>
      <c r="G3" s="5">
        <v>0</v>
      </c>
      <c r="H3" s="3">
        <v>0</v>
      </c>
      <c r="I3" s="4">
        <v>0</v>
      </c>
      <c r="J3" s="4">
        <v>0</v>
      </c>
      <c r="K3" s="6">
        <v>0</v>
      </c>
      <c r="L3" s="6">
        <v>0</v>
      </c>
      <c r="M3" s="5">
        <v>0</v>
      </c>
      <c r="N3" s="5">
        <v>0</v>
      </c>
    </row>
    <row r="4" spans="1:14" ht="19.95" customHeight="1" x14ac:dyDescent="0.3">
      <c r="A4" s="4">
        <v>3</v>
      </c>
      <c r="B4" s="11" t="s">
        <v>4</v>
      </c>
      <c r="C4" s="3">
        <v>404</v>
      </c>
      <c r="D4" s="3">
        <v>691</v>
      </c>
      <c r="E4" s="3">
        <v>625</v>
      </c>
      <c r="F4" s="3">
        <v>588</v>
      </c>
      <c r="G4" s="5">
        <v>867</v>
      </c>
      <c r="H4" s="3">
        <v>727</v>
      </c>
      <c r="I4" s="4">
        <v>629</v>
      </c>
      <c r="J4" s="4">
        <v>633</v>
      </c>
      <c r="K4" s="6">
        <v>562</v>
      </c>
      <c r="L4" s="6">
        <v>490</v>
      </c>
      <c r="M4" s="5">
        <v>500</v>
      </c>
      <c r="N4" s="5">
        <v>606</v>
      </c>
    </row>
    <row r="5" spans="1:14" ht="19.95" customHeight="1" x14ac:dyDescent="0.3">
      <c r="A5" s="4">
        <v>4</v>
      </c>
      <c r="B5" s="11" t="s">
        <v>5</v>
      </c>
      <c r="C5" s="3">
        <v>16</v>
      </c>
      <c r="D5" s="3">
        <v>18</v>
      </c>
      <c r="E5" s="3">
        <v>11</v>
      </c>
      <c r="F5" s="3">
        <v>12</v>
      </c>
      <c r="G5" s="5">
        <v>16</v>
      </c>
      <c r="H5" s="3">
        <v>18</v>
      </c>
      <c r="I5" s="5">
        <v>18</v>
      </c>
      <c r="J5" s="5">
        <v>14</v>
      </c>
      <c r="K5" s="6">
        <v>11</v>
      </c>
      <c r="L5" s="5">
        <v>13</v>
      </c>
      <c r="M5" s="5">
        <v>13</v>
      </c>
      <c r="N5" s="5">
        <v>7</v>
      </c>
    </row>
    <row r="6" spans="1:14" ht="19.95" customHeight="1" x14ac:dyDescent="0.3">
      <c r="A6" s="4">
        <v>5</v>
      </c>
      <c r="B6" s="11" t="s">
        <v>6</v>
      </c>
      <c r="C6" s="8">
        <v>0.98</v>
      </c>
      <c r="D6" s="8">
        <v>0.98</v>
      </c>
      <c r="E6" s="8">
        <v>0.98</v>
      </c>
      <c r="F6" s="8">
        <v>0.98</v>
      </c>
      <c r="G6" s="9">
        <v>0.98</v>
      </c>
      <c r="H6" s="17">
        <v>0.97499999999999998</v>
      </c>
      <c r="I6" s="12">
        <v>0.97499999999999998</v>
      </c>
      <c r="J6" s="12">
        <v>0.97499999999999998</v>
      </c>
      <c r="K6" s="18">
        <v>0.97</v>
      </c>
      <c r="L6" s="9">
        <v>0.97</v>
      </c>
      <c r="M6" s="19">
        <v>0.97499999999999998</v>
      </c>
      <c r="N6" s="19">
        <v>0.98499999999999999</v>
      </c>
    </row>
    <row r="7" spans="1:14" ht="19.95" customHeight="1" x14ac:dyDescent="0.3">
      <c r="A7" s="4">
        <v>6</v>
      </c>
      <c r="B7" s="11" t="s">
        <v>7</v>
      </c>
      <c r="C7" s="3">
        <v>0</v>
      </c>
      <c r="D7" s="3">
        <v>0</v>
      </c>
      <c r="E7" s="3">
        <v>0</v>
      </c>
      <c r="F7" s="3">
        <v>0</v>
      </c>
      <c r="G7" s="5">
        <v>0</v>
      </c>
      <c r="H7" s="3">
        <v>0</v>
      </c>
      <c r="I7" s="13">
        <v>0</v>
      </c>
      <c r="J7" s="13">
        <v>0</v>
      </c>
      <c r="K7" s="6">
        <v>0</v>
      </c>
      <c r="L7" s="5">
        <v>0</v>
      </c>
      <c r="M7" s="5">
        <v>0</v>
      </c>
      <c r="N7" s="5">
        <v>170</v>
      </c>
    </row>
    <row r="8" spans="1:14" ht="19.95" customHeight="1" x14ac:dyDescent="0.3">
      <c r="A8" s="4">
        <v>7</v>
      </c>
      <c r="B8" s="11" t="s">
        <v>8</v>
      </c>
      <c r="C8" s="3">
        <v>0</v>
      </c>
      <c r="D8" s="3">
        <v>0</v>
      </c>
      <c r="E8" s="3">
        <v>0</v>
      </c>
      <c r="F8" s="3">
        <v>0</v>
      </c>
      <c r="G8" s="5">
        <v>0</v>
      </c>
      <c r="H8" s="3">
        <v>0</v>
      </c>
      <c r="I8" s="13">
        <v>0</v>
      </c>
      <c r="J8" s="13">
        <v>0</v>
      </c>
      <c r="K8" s="6">
        <v>0</v>
      </c>
      <c r="L8" s="5">
        <v>0</v>
      </c>
      <c r="M8" s="5">
        <v>0</v>
      </c>
      <c r="N8" s="5">
        <v>135</v>
      </c>
    </row>
    <row r="9" spans="1:14" ht="19.95" customHeight="1" x14ac:dyDescent="0.3">
      <c r="A9" s="4">
        <v>8</v>
      </c>
      <c r="B9" s="11" t="s">
        <v>9</v>
      </c>
      <c r="C9" s="3">
        <v>0</v>
      </c>
      <c r="D9" s="3">
        <v>0</v>
      </c>
      <c r="E9" s="3">
        <v>0</v>
      </c>
      <c r="F9" s="3">
        <v>0</v>
      </c>
      <c r="G9" s="5">
        <v>0</v>
      </c>
      <c r="H9" s="3">
        <v>0</v>
      </c>
      <c r="I9" s="13">
        <v>0</v>
      </c>
      <c r="J9" s="13">
        <v>0</v>
      </c>
      <c r="K9" s="6">
        <v>0</v>
      </c>
      <c r="L9" s="5">
        <v>0</v>
      </c>
      <c r="M9" s="5">
        <v>0</v>
      </c>
      <c r="N9" s="5">
        <v>35</v>
      </c>
    </row>
    <row r="10" spans="1:14" s="15" customFormat="1" ht="19.95" customHeight="1" x14ac:dyDescent="0.3">
      <c r="A10" s="4">
        <v>9</v>
      </c>
      <c r="B10" s="11" t="s">
        <v>32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16">
        <f>N8/N7</f>
        <v>0.79411764705882348</v>
      </c>
    </row>
    <row r="11" spans="1:14" ht="19.95" customHeight="1" x14ac:dyDescent="0.3">
      <c r="A11" s="4">
        <v>10</v>
      </c>
      <c r="B11" s="11" t="s">
        <v>10</v>
      </c>
      <c r="C11" s="3"/>
      <c r="D11" s="3">
        <v>1</v>
      </c>
      <c r="E11" s="3">
        <v>1</v>
      </c>
      <c r="F11" s="3">
        <v>0</v>
      </c>
      <c r="G11" s="5">
        <v>0</v>
      </c>
      <c r="H11" s="3">
        <v>1</v>
      </c>
      <c r="I11" s="5">
        <v>1</v>
      </c>
      <c r="J11" s="5">
        <v>1</v>
      </c>
      <c r="K11" s="5">
        <v>2</v>
      </c>
      <c r="L11" s="6">
        <v>2</v>
      </c>
      <c r="M11" s="6">
        <v>2</v>
      </c>
      <c r="N11" s="6">
        <v>1</v>
      </c>
    </row>
    <row r="12" spans="1:14" ht="19.95" customHeight="1" x14ac:dyDescent="0.3">
      <c r="A12" s="4">
        <v>11</v>
      </c>
      <c r="B12" s="11" t="s">
        <v>11</v>
      </c>
      <c r="C12" s="3">
        <v>3</v>
      </c>
      <c r="D12" s="3">
        <v>3</v>
      </c>
      <c r="E12" s="3">
        <v>2</v>
      </c>
      <c r="F12" s="3">
        <v>0</v>
      </c>
      <c r="G12" s="5">
        <v>0</v>
      </c>
      <c r="H12" s="3">
        <v>2</v>
      </c>
      <c r="I12" s="5">
        <v>2</v>
      </c>
      <c r="J12" s="5">
        <v>2</v>
      </c>
      <c r="K12" s="5">
        <v>2</v>
      </c>
      <c r="L12" s="6">
        <v>2</v>
      </c>
      <c r="M12" s="6">
        <v>2</v>
      </c>
      <c r="N12" s="6">
        <v>3</v>
      </c>
    </row>
    <row r="13" spans="1:14" ht="19.95" customHeight="1" x14ac:dyDescent="0.3">
      <c r="A13" s="4">
        <v>12</v>
      </c>
      <c r="B13" s="11" t="s">
        <v>12</v>
      </c>
      <c r="C13" s="3">
        <v>1</v>
      </c>
      <c r="D13" s="3">
        <v>1</v>
      </c>
      <c r="E13" s="3">
        <v>1</v>
      </c>
      <c r="F13" s="3">
        <v>0</v>
      </c>
      <c r="G13" s="5">
        <v>0</v>
      </c>
      <c r="H13" s="3">
        <v>1</v>
      </c>
      <c r="I13" s="5">
        <v>1</v>
      </c>
      <c r="J13" s="5">
        <v>1</v>
      </c>
      <c r="K13" s="5">
        <v>1</v>
      </c>
      <c r="L13" s="6">
        <v>1</v>
      </c>
      <c r="M13" s="6">
        <v>1</v>
      </c>
      <c r="N13" s="6">
        <v>0</v>
      </c>
    </row>
    <row r="14" spans="1:14" ht="19.95" customHeight="1" x14ac:dyDescent="0.3">
      <c r="A14" s="4">
        <v>13</v>
      </c>
      <c r="B14" s="11" t="s">
        <v>13</v>
      </c>
      <c r="C14" s="3">
        <v>0</v>
      </c>
      <c r="D14" s="3">
        <v>0</v>
      </c>
      <c r="E14" s="3">
        <v>0</v>
      </c>
      <c r="F14" s="3">
        <v>0</v>
      </c>
      <c r="G14" s="5">
        <v>0</v>
      </c>
      <c r="H14" s="3">
        <v>0</v>
      </c>
      <c r="I14" s="5">
        <v>0</v>
      </c>
      <c r="J14" s="5">
        <v>0</v>
      </c>
      <c r="K14" s="5">
        <v>0</v>
      </c>
      <c r="L14" s="6">
        <v>0</v>
      </c>
      <c r="M14" s="6">
        <v>0</v>
      </c>
      <c r="N14" s="6">
        <v>0</v>
      </c>
    </row>
    <row r="15" spans="1:14" ht="19.95" customHeight="1" x14ac:dyDescent="0.3">
      <c r="A15" s="4">
        <v>14</v>
      </c>
      <c r="B15" s="11" t="s">
        <v>14</v>
      </c>
      <c r="C15" s="3">
        <v>0</v>
      </c>
      <c r="D15" s="3">
        <v>0</v>
      </c>
      <c r="E15" s="3">
        <v>0</v>
      </c>
      <c r="F15" s="3">
        <v>0</v>
      </c>
      <c r="G15" s="5">
        <v>0</v>
      </c>
      <c r="H15" s="3">
        <v>0</v>
      </c>
      <c r="I15" s="5">
        <v>0</v>
      </c>
      <c r="J15" s="5">
        <v>0</v>
      </c>
      <c r="K15" s="5">
        <v>0</v>
      </c>
      <c r="L15" s="6">
        <v>0</v>
      </c>
      <c r="M15" s="6">
        <v>0</v>
      </c>
      <c r="N15" s="6">
        <v>0</v>
      </c>
    </row>
    <row r="16" spans="1:14" ht="19.95" customHeight="1" x14ac:dyDescent="0.3">
      <c r="A16" s="4">
        <v>15</v>
      </c>
      <c r="B16" s="11" t="s">
        <v>15</v>
      </c>
      <c r="C16" s="3">
        <v>0</v>
      </c>
      <c r="D16" s="3">
        <v>0</v>
      </c>
      <c r="E16" s="3">
        <v>0</v>
      </c>
      <c r="F16" s="3">
        <v>0</v>
      </c>
      <c r="G16" s="5">
        <v>0</v>
      </c>
      <c r="H16" s="3">
        <v>0</v>
      </c>
      <c r="I16" s="5">
        <v>0</v>
      </c>
      <c r="J16" s="5">
        <v>0</v>
      </c>
      <c r="K16" s="5">
        <v>0</v>
      </c>
      <c r="L16" s="6">
        <v>0</v>
      </c>
      <c r="M16" s="6">
        <v>0</v>
      </c>
      <c r="N16" s="6">
        <v>0</v>
      </c>
    </row>
    <row r="17" spans="1:14" ht="19.95" customHeight="1" x14ac:dyDescent="0.3">
      <c r="A17" s="4">
        <v>16</v>
      </c>
      <c r="B17" s="11" t="s">
        <v>16</v>
      </c>
      <c r="C17" s="3" t="s">
        <v>29</v>
      </c>
      <c r="D17" s="3" t="s">
        <v>29</v>
      </c>
      <c r="E17" s="3" t="s">
        <v>29</v>
      </c>
      <c r="F17" s="3" t="s">
        <v>29</v>
      </c>
      <c r="G17" s="5" t="s">
        <v>29</v>
      </c>
      <c r="H17" s="3" t="s">
        <v>29</v>
      </c>
      <c r="I17" s="4" t="s">
        <v>29</v>
      </c>
      <c r="J17" s="4" t="s">
        <v>29</v>
      </c>
      <c r="K17" s="6" t="s">
        <v>29</v>
      </c>
      <c r="L17" s="6" t="s">
        <v>29</v>
      </c>
      <c r="M17" s="6" t="s">
        <v>29</v>
      </c>
      <c r="N17" s="6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ED61-F23D-46C7-82DA-91C20A3C6727}">
  <dimension ref="A1:N17"/>
  <sheetViews>
    <sheetView workbookViewId="0">
      <selection activeCell="B10" sqref="B10"/>
    </sheetView>
  </sheetViews>
  <sheetFormatPr defaultRowHeight="14.4" x14ac:dyDescent="0.3"/>
  <cols>
    <col min="1" max="1" width="5" bestFit="1" customWidth="1"/>
    <col min="2" max="2" width="42.44140625" bestFit="1" customWidth="1"/>
    <col min="3" max="14" width="10.77734375" style="22" customWidth="1"/>
  </cols>
  <sheetData>
    <row r="1" spans="1:14" ht="40.049999999999997" customHeight="1" x14ac:dyDescent="0.3">
      <c r="A1" s="2" t="s">
        <v>0</v>
      </c>
      <c r="B1" s="10" t="s">
        <v>1</v>
      </c>
      <c r="C1" s="2" t="s">
        <v>27</v>
      </c>
      <c r="D1" s="2" t="s">
        <v>28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</row>
    <row r="2" spans="1:14" ht="19.95" customHeight="1" x14ac:dyDescent="0.3">
      <c r="A2" s="4">
        <v>1</v>
      </c>
      <c r="B2" s="11" t="s">
        <v>2</v>
      </c>
      <c r="C2" s="3">
        <v>27300</v>
      </c>
      <c r="D2" s="3">
        <v>31549</v>
      </c>
      <c r="E2" s="3">
        <v>24392</v>
      </c>
      <c r="F2" s="3">
        <v>34050</v>
      </c>
      <c r="G2" s="5">
        <v>33800</v>
      </c>
      <c r="H2" s="3">
        <v>31120</v>
      </c>
      <c r="I2" s="13">
        <v>39414</v>
      </c>
      <c r="J2" s="13">
        <v>38653</v>
      </c>
      <c r="K2" s="6">
        <v>33870</v>
      </c>
      <c r="L2" s="4">
        <v>35689</v>
      </c>
      <c r="M2" s="13">
        <v>31306</v>
      </c>
      <c r="N2" s="5">
        <v>28500</v>
      </c>
    </row>
    <row r="3" spans="1:14" ht="19.95" customHeight="1" x14ac:dyDescent="0.3">
      <c r="A3" s="4">
        <v>2</v>
      </c>
      <c r="B3" s="11" t="s">
        <v>3</v>
      </c>
      <c r="C3" s="3">
        <v>59</v>
      </c>
      <c r="D3" s="3">
        <v>65</v>
      </c>
      <c r="E3" s="3">
        <v>51</v>
      </c>
      <c r="F3" s="3">
        <v>56</v>
      </c>
      <c r="G3" s="5">
        <v>59</v>
      </c>
      <c r="H3" s="3">
        <v>0</v>
      </c>
      <c r="I3" s="13">
        <v>59</v>
      </c>
      <c r="J3" s="13">
        <v>41</v>
      </c>
      <c r="K3" s="6">
        <v>41</v>
      </c>
      <c r="L3" s="6">
        <v>52</v>
      </c>
      <c r="M3" s="13">
        <v>58</v>
      </c>
      <c r="N3" s="5">
        <v>62</v>
      </c>
    </row>
    <row r="4" spans="1:14" ht="19.95" customHeight="1" x14ac:dyDescent="0.3">
      <c r="A4" s="4">
        <v>3</v>
      </c>
      <c r="B4" s="11" t="s">
        <v>4</v>
      </c>
      <c r="C4" s="3">
        <v>367</v>
      </c>
      <c r="D4" s="3">
        <v>497</v>
      </c>
      <c r="E4" s="3">
        <v>528</v>
      </c>
      <c r="F4" s="3">
        <v>522</v>
      </c>
      <c r="G4" s="5">
        <v>521</v>
      </c>
      <c r="H4" s="3">
        <v>391</v>
      </c>
      <c r="I4" s="4">
        <v>366</v>
      </c>
      <c r="J4" s="4">
        <v>247</v>
      </c>
      <c r="K4" s="6">
        <v>235</v>
      </c>
      <c r="L4" s="6">
        <v>241</v>
      </c>
      <c r="M4" s="13">
        <v>241</v>
      </c>
      <c r="N4" s="5">
        <v>317</v>
      </c>
    </row>
    <row r="5" spans="1:14" ht="19.95" customHeight="1" x14ac:dyDescent="0.3">
      <c r="A5" s="4">
        <v>4</v>
      </c>
      <c r="B5" s="11" t="s">
        <v>5</v>
      </c>
      <c r="C5" s="3">
        <v>15</v>
      </c>
      <c r="D5" s="3">
        <v>17</v>
      </c>
      <c r="E5" s="3">
        <v>13</v>
      </c>
      <c r="F5" s="3">
        <v>15</v>
      </c>
      <c r="G5" s="5">
        <v>15</v>
      </c>
      <c r="H5" s="3">
        <v>16</v>
      </c>
      <c r="I5" s="5">
        <v>16</v>
      </c>
      <c r="J5" s="5">
        <v>11</v>
      </c>
      <c r="K5" s="5">
        <v>11</v>
      </c>
      <c r="L5" s="5">
        <v>12</v>
      </c>
      <c r="M5" s="13">
        <v>12</v>
      </c>
      <c r="N5" s="5">
        <v>8</v>
      </c>
    </row>
    <row r="6" spans="1:14" ht="19.95" customHeight="1" x14ac:dyDescent="0.3">
      <c r="A6" s="4">
        <v>5</v>
      </c>
      <c r="B6" s="11" t="s">
        <v>6</v>
      </c>
      <c r="C6" s="8">
        <v>0.98</v>
      </c>
      <c r="D6" s="8">
        <v>0.97</v>
      </c>
      <c r="E6" s="8">
        <v>0.98</v>
      </c>
      <c r="F6" s="8">
        <v>0.98</v>
      </c>
      <c r="G6" s="9">
        <v>0.98</v>
      </c>
      <c r="H6" s="8">
        <v>0.97</v>
      </c>
      <c r="I6" s="9">
        <v>0.97</v>
      </c>
      <c r="J6" s="9">
        <v>0.97</v>
      </c>
      <c r="K6" s="9">
        <v>0.97</v>
      </c>
      <c r="L6" s="9">
        <v>0.97</v>
      </c>
      <c r="M6" s="12">
        <v>0.97</v>
      </c>
      <c r="N6" s="19">
        <v>0.98499999999999999</v>
      </c>
    </row>
    <row r="7" spans="1:14" ht="19.95" customHeight="1" x14ac:dyDescent="0.3">
      <c r="A7" s="4">
        <v>6</v>
      </c>
      <c r="B7" s="11" t="s">
        <v>7</v>
      </c>
      <c r="C7" s="3">
        <v>96</v>
      </c>
      <c r="D7" s="3">
        <v>81</v>
      </c>
      <c r="E7" s="3">
        <v>57</v>
      </c>
      <c r="F7" s="3">
        <v>91</v>
      </c>
      <c r="G7" s="5">
        <v>177</v>
      </c>
      <c r="H7" s="3">
        <v>177</v>
      </c>
      <c r="I7" s="5">
        <v>177</v>
      </c>
      <c r="J7" s="5">
        <v>93</v>
      </c>
      <c r="K7" s="5">
        <v>90</v>
      </c>
      <c r="L7" s="5">
        <v>133</v>
      </c>
      <c r="M7" s="13">
        <v>146</v>
      </c>
      <c r="N7" s="5">
        <v>256</v>
      </c>
    </row>
    <row r="8" spans="1:14" ht="19.95" customHeight="1" x14ac:dyDescent="0.3">
      <c r="A8" s="4">
        <v>7</v>
      </c>
      <c r="B8" s="11" t="s">
        <v>8</v>
      </c>
      <c r="C8" s="3">
        <v>95</v>
      </c>
      <c r="D8" s="3">
        <v>65</v>
      </c>
      <c r="E8" s="3">
        <v>43</v>
      </c>
      <c r="F8" s="3">
        <v>78</v>
      </c>
      <c r="G8" s="5">
        <v>146</v>
      </c>
      <c r="H8" s="3">
        <v>146</v>
      </c>
      <c r="I8" s="5">
        <v>146</v>
      </c>
      <c r="J8" s="5">
        <v>146</v>
      </c>
      <c r="K8" s="5">
        <v>75</v>
      </c>
      <c r="L8" s="5">
        <v>103</v>
      </c>
      <c r="M8" s="13">
        <v>114</v>
      </c>
      <c r="N8" s="5">
        <v>216</v>
      </c>
    </row>
    <row r="9" spans="1:14" ht="19.95" customHeight="1" x14ac:dyDescent="0.3">
      <c r="A9" s="4">
        <v>8</v>
      </c>
      <c r="B9" s="11" t="s">
        <v>9</v>
      </c>
      <c r="C9" s="3">
        <v>1</v>
      </c>
      <c r="D9" s="3">
        <v>16</v>
      </c>
      <c r="E9" s="3">
        <v>14</v>
      </c>
      <c r="F9" s="3">
        <v>13</v>
      </c>
      <c r="G9" s="5">
        <v>31</v>
      </c>
      <c r="H9" s="3">
        <v>31</v>
      </c>
      <c r="I9" s="5">
        <v>31</v>
      </c>
      <c r="J9" s="5">
        <v>20</v>
      </c>
      <c r="K9" s="5">
        <v>15</v>
      </c>
      <c r="L9" s="5">
        <v>30</v>
      </c>
      <c r="M9" s="13">
        <v>32</v>
      </c>
      <c r="N9" s="5">
        <v>40</v>
      </c>
    </row>
    <row r="10" spans="1:14" ht="19.95" customHeight="1" x14ac:dyDescent="0.3">
      <c r="A10" s="4">
        <v>9</v>
      </c>
      <c r="B10" s="11" t="s">
        <v>32</v>
      </c>
      <c r="C10" s="14">
        <f>C8/C7</f>
        <v>0.98958333333333337</v>
      </c>
      <c r="D10" s="14">
        <f t="shared" ref="D10:N10" si="0">D8/D7</f>
        <v>0.80246913580246915</v>
      </c>
      <c r="E10" s="14">
        <f t="shared" si="0"/>
        <v>0.75438596491228072</v>
      </c>
      <c r="F10" s="14">
        <f t="shared" si="0"/>
        <v>0.8571428571428571</v>
      </c>
      <c r="G10" s="14">
        <f t="shared" si="0"/>
        <v>0.82485875706214684</v>
      </c>
      <c r="H10" s="14">
        <f t="shared" si="0"/>
        <v>0.82485875706214684</v>
      </c>
      <c r="I10" s="14">
        <f t="shared" si="0"/>
        <v>0.82485875706214684</v>
      </c>
      <c r="J10" s="14">
        <f t="shared" si="0"/>
        <v>1.5698924731182795</v>
      </c>
      <c r="K10" s="14">
        <f t="shared" si="0"/>
        <v>0.83333333333333337</v>
      </c>
      <c r="L10" s="14">
        <f t="shared" si="0"/>
        <v>0.77443609022556392</v>
      </c>
      <c r="M10" s="14">
        <f t="shared" si="0"/>
        <v>0.78082191780821919</v>
      </c>
      <c r="N10" s="14">
        <f t="shared" si="0"/>
        <v>0.84375</v>
      </c>
    </row>
    <row r="11" spans="1:14" ht="19.95" customHeight="1" x14ac:dyDescent="0.3">
      <c r="A11" s="4">
        <v>10</v>
      </c>
      <c r="B11" s="11" t="s">
        <v>10</v>
      </c>
      <c r="C11" s="3">
        <v>3</v>
      </c>
      <c r="D11" s="3">
        <v>2</v>
      </c>
      <c r="E11" s="3">
        <v>1</v>
      </c>
      <c r="F11" s="3">
        <v>2</v>
      </c>
      <c r="G11" s="3">
        <v>7</v>
      </c>
      <c r="H11" s="3">
        <v>3</v>
      </c>
      <c r="I11" s="5">
        <v>3</v>
      </c>
      <c r="J11" s="5">
        <v>9</v>
      </c>
      <c r="K11" s="5">
        <v>7</v>
      </c>
      <c r="L11" s="6">
        <v>6</v>
      </c>
      <c r="M11" s="6">
        <v>8</v>
      </c>
      <c r="N11" s="6">
        <v>3</v>
      </c>
    </row>
    <row r="12" spans="1:14" ht="19.95" customHeight="1" x14ac:dyDescent="0.3">
      <c r="A12" s="4">
        <v>11</v>
      </c>
      <c r="B12" s="11" t="s">
        <v>11</v>
      </c>
      <c r="C12" s="3">
        <v>1</v>
      </c>
      <c r="D12" s="3">
        <v>2</v>
      </c>
      <c r="E12" s="3">
        <v>2</v>
      </c>
      <c r="F12" s="3">
        <v>3</v>
      </c>
      <c r="G12" s="3">
        <v>10</v>
      </c>
      <c r="H12" s="3">
        <v>4</v>
      </c>
      <c r="I12" s="5">
        <v>4</v>
      </c>
      <c r="J12" s="5">
        <v>12</v>
      </c>
      <c r="K12" s="5">
        <v>6</v>
      </c>
      <c r="L12" s="6">
        <v>5</v>
      </c>
      <c r="M12" s="6">
        <v>5</v>
      </c>
      <c r="N12" s="6">
        <v>3</v>
      </c>
    </row>
    <row r="13" spans="1:14" ht="19.95" customHeight="1" x14ac:dyDescent="0.3">
      <c r="A13" s="4">
        <v>12</v>
      </c>
      <c r="B13" s="11" t="s">
        <v>12</v>
      </c>
      <c r="C13" s="3">
        <v>2</v>
      </c>
      <c r="D13" s="3">
        <v>1</v>
      </c>
      <c r="E13" s="3">
        <v>2</v>
      </c>
      <c r="F13" s="3">
        <v>1</v>
      </c>
      <c r="G13" s="3">
        <v>5</v>
      </c>
      <c r="H13" s="3">
        <v>2</v>
      </c>
      <c r="I13" s="5">
        <v>2</v>
      </c>
      <c r="J13" s="5">
        <v>4</v>
      </c>
      <c r="K13" s="5">
        <v>1</v>
      </c>
      <c r="L13" s="6">
        <v>1</v>
      </c>
      <c r="M13" s="6">
        <v>1</v>
      </c>
      <c r="N13" s="6">
        <v>0</v>
      </c>
    </row>
    <row r="14" spans="1:14" ht="19.95" customHeight="1" x14ac:dyDescent="0.3">
      <c r="A14" s="4">
        <v>13</v>
      </c>
      <c r="B14" s="11" t="s">
        <v>13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5">
        <v>0</v>
      </c>
      <c r="J14" s="5">
        <v>0</v>
      </c>
      <c r="K14" s="5">
        <v>0</v>
      </c>
      <c r="L14" s="6">
        <v>0</v>
      </c>
      <c r="M14" s="6">
        <v>0</v>
      </c>
      <c r="N14" s="6">
        <v>0</v>
      </c>
    </row>
    <row r="15" spans="1:14" ht="19.95" customHeight="1" x14ac:dyDescent="0.3">
      <c r="A15" s="4">
        <v>14</v>
      </c>
      <c r="B15" s="11" t="s">
        <v>14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5">
        <v>0</v>
      </c>
      <c r="J15" s="5">
        <v>0</v>
      </c>
      <c r="K15" s="5">
        <v>0</v>
      </c>
      <c r="L15" s="6">
        <v>0</v>
      </c>
      <c r="M15" s="6">
        <v>0</v>
      </c>
      <c r="N15" s="6">
        <v>0</v>
      </c>
    </row>
    <row r="16" spans="1:14" ht="19.95" customHeight="1" x14ac:dyDescent="0.3">
      <c r="A16" s="4">
        <v>15</v>
      </c>
      <c r="B16" s="11" t="s">
        <v>15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5">
        <v>0</v>
      </c>
      <c r="J16" s="5">
        <v>0</v>
      </c>
      <c r="K16" s="5">
        <v>0</v>
      </c>
      <c r="L16" s="6">
        <v>0</v>
      </c>
      <c r="M16" s="6">
        <v>0</v>
      </c>
      <c r="N16" s="6">
        <v>0</v>
      </c>
    </row>
    <row r="17" spans="1:14" ht="19.95" customHeight="1" x14ac:dyDescent="0.3">
      <c r="A17" s="4">
        <v>16</v>
      </c>
      <c r="B17" s="11" t="s">
        <v>16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4" t="s">
        <v>30</v>
      </c>
      <c r="J17" s="4" t="s">
        <v>30</v>
      </c>
      <c r="K17" s="6" t="s">
        <v>30</v>
      </c>
      <c r="L17" s="6" t="s">
        <v>30</v>
      </c>
      <c r="M17" s="6" t="s">
        <v>30</v>
      </c>
      <c r="N17" s="6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8623D-205E-4ECE-BE82-A74D6AAE9C41}">
  <dimension ref="A1:N17"/>
  <sheetViews>
    <sheetView workbookViewId="0">
      <selection activeCell="B10" sqref="B10"/>
    </sheetView>
  </sheetViews>
  <sheetFormatPr defaultRowHeight="14.4" x14ac:dyDescent="0.3"/>
  <cols>
    <col min="1" max="1" width="5" bestFit="1" customWidth="1"/>
    <col min="2" max="2" width="36.77734375" bestFit="1" customWidth="1"/>
    <col min="3" max="14" width="10.77734375" customWidth="1"/>
  </cols>
  <sheetData>
    <row r="1" spans="1:14" ht="40.049999999999997" customHeight="1" x14ac:dyDescent="0.3">
      <c r="A1" s="2" t="s">
        <v>0</v>
      </c>
      <c r="B1" s="10" t="s">
        <v>1</v>
      </c>
      <c r="C1" s="2" t="s">
        <v>27</v>
      </c>
      <c r="D1" s="2" t="s">
        <v>28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</row>
    <row r="2" spans="1:14" ht="19.95" customHeight="1" x14ac:dyDescent="0.3">
      <c r="A2" s="4">
        <v>1</v>
      </c>
      <c r="B2" s="11" t="s">
        <v>2</v>
      </c>
      <c r="C2" s="3">
        <v>3750</v>
      </c>
      <c r="D2" s="3">
        <v>4529</v>
      </c>
      <c r="E2" s="3">
        <v>3646</v>
      </c>
      <c r="F2" s="3">
        <v>4560</v>
      </c>
      <c r="G2" s="5">
        <v>5090</v>
      </c>
      <c r="H2" s="20">
        <v>4787</v>
      </c>
      <c r="I2" s="13">
        <v>5881</v>
      </c>
      <c r="J2" s="13">
        <v>5344</v>
      </c>
      <c r="K2" s="6">
        <v>4743</v>
      </c>
      <c r="L2" s="4">
        <v>5167</v>
      </c>
      <c r="M2" s="5">
        <v>3745</v>
      </c>
      <c r="N2" s="5">
        <v>4009</v>
      </c>
    </row>
    <row r="3" spans="1:14" ht="19.95" customHeight="1" x14ac:dyDescent="0.3">
      <c r="A3" s="4">
        <v>2</v>
      </c>
      <c r="B3" s="11" t="s">
        <v>3</v>
      </c>
      <c r="C3" s="3">
        <v>0</v>
      </c>
      <c r="D3" s="3">
        <v>0</v>
      </c>
      <c r="E3" s="3">
        <v>0</v>
      </c>
      <c r="F3" s="3">
        <v>0</v>
      </c>
      <c r="G3" s="5">
        <v>0</v>
      </c>
      <c r="H3" s="20">
        <v>0</v>
      </c>
      <c r="I3" s="13">
        <v>0</v>
      </c>
      <c r="J3" s="13">
        <v>0</v>
      </c>
      <c r="K3" s="6">
        <v>0</v>
      </c>
      <c r="L3" s="6">
        <v>0</v>
      </c>
      <c r="M3" s="5">
        <v>0</v>
      </c>
      <c r="N3" s="5">
        <v>0</v>
      </c>
    </row>
    <row r="4" spans="1:14" ht="19.95" customHeight="1" x14ac:dyDescent="0.3">
      <c r="A4" s="4">
        <v>3</v>
      </c>
      <c r="B4" s="11" t="s">
        <v>4</v>
      </c>
      <c r="C4" s="3">
        <v>93</v>
      </c>
      <c r="D4" s="3">
        <v>65</v>
      </c>
      <c r="E4" s="3">
        <v>72</v>
      </c>
      <c r="F4" s="3">
        <v>69</v>
      </c>
      <c r="G4" s="5">
        <v>33</v>
      </c>
      <c r="H4" s="20">
        <v>133</v>
      </c>
      <c r="I4" s="4">
        <v>134</v>
      </c>
      <c r="J4" s="4">
        <v>134</v>
      </c>
      <c r="K4" s="6">
        <v>139</v>
      </c>
      <c r="L4" s="6">
        <v>138</v>
      </c>
      <c r="M4" s="5">
        <v>142</v>
      </c>
      <c r="N4" s="5">
        <v>156</v>
      </c>
    </row>
    <row r="5" spans="1:14" ht="19.95" customHeight="1" x14ac:dyDescent="0.3">
      <c r="A5" s="4">
        <v>4</v>
      </c>
      <c r="B5" s="11" t="s">
        <v>5</v>
      </c>
      <c r="C5" s="3">
        <v>1</v>
      </c>
      <c r="D5" s="3">
        <v>3</v>
      </c>
      <c r="E5" s="3">
        <v>2</v>
      </c>
      <c r="F5" s="3">
        <v>1</v>
      </c>
      <c r="G5" s="5">
        <v>1</v>
      </c>
      <c r="H5" s="20">
        <v>6</v>
      </c>
      <c r="I5" s="5">
        <v>6</v>
      </c>
      <c r="J5" s="5">
        <v>2</v>
      </c>
      <c r="K5" s="6">
        <v>1</v>
      </c>
      <c r="L5" s="5">
        <v>2</v>
      </c>
      <c r="M5" s="5">
        <v>2</v>
      </c>
      <c r="N5" s="5">
        <v>1</v>
      </c>
    </row>
    <row r="6" spans="1:14" ht="19.95" customHeight="1" x14ac:dyDescent="0.3">
      <c r="A6" s="4">
        <v>5</v>
      </c>
      <c r="B6" s="11" t="s">
        <v>6</v>
      </c>
      <c r="C6" s="8">
        <v>0.99</v>
      </c>
      <c r="D6" s="8">
        <v>0.99</v>
      </c>
      <c r="E6" s="8">
        <v>0.99</v>
      </c>
      <c r="F6" s="8">
        <v>0.99</v>
      </c>
      <c r="G6" s="9">
        <v>0.99</v>
      </c>
      <c r="H6" s="21">
        <v>0.97</v>
      </c>
      <c r="I6" s="9">
        <v>0.97</v>
      </c>
      <c r="J6" s="9">
        <v>0.98</v>
      </c>
      <c r="K6" s="18">
        <v>0.99</v>
      </c>
      <c r="L6" s="9">
        <v>0.99</v>
      </c>
      <c r="M6" s="9">
        <v>0.99</v>
      </c>
      <c r="N6" s="9">
        <v>0.99</v>
      </c>
    </row>
    <row r="7" spans="1:14" ht="19.95" customHeight="1" x14ac:dyDescent="0.3">
      <c r="A7" s="4">
        <v>6</v>
      </c>
      <c r="B7" s="11" t="s">
        <v>7</v>
      </c>
      <c r="C7" s="3">
        <v>3</v>
      </c>
      <c r="D7" s="3">
        <v>2</v>
      </c>
      <c r="E7" s="3">
        <v>5</v>
      </c>
      <c r="F7" s="3">
        <v>7</v>
      </c>
      <c r="G7" s="5">
        <v>7</v>
      </c>
      <c r="H7" s="20">
        <v>8</v>
      </c>
      <c r="I7" s="5">
        <v>8</v>
      </c>
      <c r="J7" s="5">
        <v>4</v>
      </c>
      <c r="K7" s="6">
        <v>3</v>
      </c>
      <c r="L7" s="5">
        <v>3</v>
      </c>
      <c r="M7" s="5">
        <v>4</v>
      </c>
      <c r="N7" s="5">
        <v>2</v>
      </c>
    </row>
    <row r="8" spans="1:14" ht="19.95" customHeight="1" x14ac:dyDescent="0.3">
      <c r="A8" s="4">
        <v>7</v>
      </c>
      <c r="B8" s="11" t="s">
        <v>8</v>
      </c>
      <c r="C8" s="3">
        <v>3</v>
      </c>
      <c r="D8" s="3">
        <v>2</v>
      </c>
      <c r="E8" s="3">
        <v>5</v>
      </c>
      <c r="F8" s="3">
        <v>6</v>
      </c>
      <c r="G8" s="5">
        <v>6</v>
      </c>
      <c r="H8" s="20">
        <v>7</v>
      </c>
      <c r="I8" s="5">
        <v>7</v>
      </c>
      <c r="J8" s="5">
        <v>4</v>
      </c>
      <c r="K8" s="6">
        <v>3</v>
      </c>
      <c r="L8" s="5">
        <v>3</v>
      </c>
      <c r="M8" s="5">
        <v>3</v>
      </c>
      <c r="N8" s="5">
        <v>2</v>
      </c>
    </row>
    <row r="9" spans="1:14" ht="19.95" customHeight="1" x14ac:dyDescent="0.3">
      <c r="A9" s="4">
        <v>8</v>
      </c>
      <c r="B9" s="11" t="s">
        <v>9</v>
      </c>
      <c r="C9" s="3">
        <v>0</v>
      </c>
      <c r="D9" s="3">
        <v>0</v>
      </c>
      <c r="E9" s="3">
        <v>0</v>
      </c>
      <c r="F9" s="3">
        <v>1</v>
      </c>
      <c r="G9" s="5">
        <v>1</v>
      </c>
      <c r="H9" s="20">
        <v>1</v>
      </c>
      <c r="I9" s="5">
        <v>1</v>
      </c>
      <c r="J9" s="5">
        <v>0</v>
      </c>
      <c r="K9" s="6">
        <v>0</v>
      </c>
      <c r="L9" s="5">
        <v>0</v>
      </c>
      <c r="M9" s="5">
        <v>0</v>
      </c>
      <c r="N9" s="5">
        <v>0</v>
      </c>
    </row>
    <row r="10" spans="1:14" ht="19.95" customHeight="1" x14ac:dyDescent="0.3">
      <c r="A10" s="4">
        <v>9</v>
      </c>
      <c r="B10" s="11" t="s">
        <v>32</v>
      </c>
      <c r="C10" s="14">
        <f>C8/C7</f>
        <v>1</v>
      </c>
      <c r="D10" s="14">
        <f t="shared" ref="D10:N10" si="0">D8/D7</f>
        <v>1</v>
      </c>
      <c r="E10" s="14">
        <f t="shared" si="0"/>
        <v>1</v>
      </c>
      <c r="F10" s="14">
        <f t="shared" si="0"/>
        <v>0.8571428571428571</v>
      </c>
      <c r="G10" s="14">
        <f t="shared" si="0"/>
        <v>0.8571428571428571</v>
      </c>
      <c r="H10" s="14">
        <f t="shared" si="0"/>
        <v>0.875</v>
      </c>
      <c r="I10" s="14">
        <f t="shared" si="0"/>
        <v>0.875</v>
      </c>
      <c r="J10" s="14">
        <f t="shared" si="0"/>
        <v>1</v>
      </c>
      <c r="K10" s="14">
        <f t="shared" si="0"/>
        <v>1</v>
      </c>
      <c r="L10" s="14">
        <f t="shared" si="0"/>
        <v>1</v>
      </c>
      <c r="M10" s="14">
        <f t="shared" si="0"/>
        <v>0.75</v>
      </c>
      <c r="N10" s="14">
        <f t="shared" si="0"/>
        <v>1</v>
      </c>
    </row>
    <row r="11" spans="1:14" ht="19.95" customHeight="1" x14ac:dyDescent="0.3">
      <c r="A11" s="4">
        <v>10</v>
      </c>
      <c r="B11" s="11" t="s">
        <v>10</v>
      </c>
      <c r="C11" s="3">
        <v>4</v>
      </c>
      <c r="D11" s="3">
        <v>4</v>
      </c>
      <c r="E11" s="3">
        <v>3</v>
      </c>
      <c r="F11" s="3">
        <v>4</v>
      </c>
      <c r="G11" s="3">
        <v>1</v>
      </c>
      <c r="H11" s="3">
        <v>1</v>
      </c>
      <c r="I11" s="5">
        <v>1</v>
      </c>
      <c r="J11" s="5">
        <v>2</v>
      </c>
      <c r="K11" s="5">
        <v>3</v>
      </c>
      <c r="L11" s="6">
        <v>4</v>
      </c>
      <c r="M11" s="6">
        <v>4</v>
      </c>
      <c r="N11" s="6">
        <v>3</v>
      </c>
    </row>
    <row r="12" spans="1:14" ht="19.95" customHeight="1" x14ac:dyDescent="0.3">
      <c r="A12" s="4">
        <v>11</v>
      </c>
      <c r="B12" s="11" t="s">
        <v>11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20">
        <v>1</v>
      </c>
      <c r="I12" s="5">
        <v>0</v>
      </c>
      <c r="J12" s="5">
        <v>0</v>
      </c>
      <c r="K12" s="5">
        <v>0</v>
      </c>
      <c r="L12" s="6">
        <v>0</v>
      </c>
      <c r="M12" s="6">
        <v>0</v>
      </c>
      <c r="N12" s="6">
        <v>0</v>
      </c>
    </row>
    <row r="13" spans="1:14" ht="19.95" customHeight="1" x14ac:dyDescent="0.3">
      <c r="A13" s="4">
        <v>12</v>
      </c>
      <c r="B13" s="11" t="s">
        <v>12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20">
        <v>0</v>
      </c>
      <c r="I13" s="5">
        <v>0</v>
      </c>
      <c r="J13" s="5">
        <v>0</v>
      </c>
      <c r="K13" s="5">
        <v>0</v>
      </c>
      <c r="L13" s="6">
        <v>0</v>
      </c>
      <c r="M13" s="6">
        <v>0</v>
      </c>
      <c r="N13" s="6">
        <v>0</v>
      </c>
    </row>
    <row r="14" spans="1:14" ht="19.95" customHeight="1" x14ac:dyDescent="0.3">
      <c r="A14" s="4">
        <v>13</v>
      </c>
      <c r="B14" s="11" t="s">
        <v>13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20">
        <v>0</v>
      </c>
      <c r="I14" s="5">
        <v>0</v>
      </c>
      <c r="J14" s="5">
        <v>0</v>
      </c>
      <c r="K14" s="5">
        <v>0</v>
      </c>
      <c r="L14" s="6">
        <v>0</v>
      </c>
      <c r="M14" s="6">
        <v>0</v>
      </c>
      <c r="N14" s="6">
        <v>0</v>
      </c>
    </row>
    <row r="15" spans="1:14" ht="19.95" customHeight="1" x14ac:dyDescent="0.3">
      <c r="A15" s="4">
        <v>14</v>
      </c>
      <c r="B15" s="11" t="s">
        <v>14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20">
        <v>0</v>
      </c>
      <c r="I15" s="5">
        <v>0</v>
      </c>
      <c r="J15" s="5">
        <v>0</v>
      </c>
      <c r="K15" s="5">
        <v>0</v>
      </c>
      <c r="L15" s="6">
        <v>0</v>
      </c>
      <c r="M15" s="6">
        <v>0</v>
      </c>
      <c r="N15" s="6">
        <v>0</v>
      </c>
    </row>
    <row r="16" spans="1:14" ht="19.95" customHeight="1" x14ac:dyDescent="0.3">
      <c r="A16" s="4">
        <v>15</v>
      </c>
      <c r="B16" s="11" t="s">
        <v>15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20">
        <v>0</v>
      </c>
      <c r="I16" s="5">
        <v>0</v>
      </c>
      <c r="J16" s="5">
        <v>0</v>
      </c>
      <c r="K16" s="5">
        <v>0</v>
      </c>
      <c r="L16" s="6">
        <v>0</v>
      </c>
      <c r="M16" s="6">
        <v>0</v>
      </c>
      <c r="N16" s="6">
        <v>0</v>
      </c>
    </row>
    <row r="17" spans="1:14" ht="19.95" customHeight="1" x14ac:dyDescent="0.3">
      <c r="A17" s="4">
        <v>16</v>
      </c>
      <c r="B17" s="11" t="s">
        <v>16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5E3C-A0FF-4563-ACD7-3F992DB631D5}">
  <dimension ref="A1:N17"/>
  <sheetViews>
    <sheetView workbookViewId="0">
      <selection activeCell="B10" sqref="B10"/>
    </sheetView>
  </sheetViews>
  <sheetFormatPr defaultRowHeight="14.4" x14ac:dyDescent="0.3"/>
  <cols>
    <col min="1" max="1" width="5" bestFit="1" customWidth="1"/>
    <col min="2" max="2" width="42.44140625" style="23" bestFit="1" customWidth="1"/>
    <col min="3" max="14" width="10.77734375" customWidth="1"/>
  </cols>
  <sheetData>
    <row r="1" spans="1:14" ht="40.049999999999997" customHeight="1" x14ac:dyDescent="0.3">
      <c r="A1" s="2" t="s">
        <v>0</v>
      </c>
      <c r="B1" s="10" t="s">
        <v>1</v>
      </c>
      <c r="C1" s="2" t="s">
        <v>27</v>
      </c>
      <c r="D1" s="2" t="s">
        <v>28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</row>
    <row r="2" spans="1:14" ht="19.95" customHeight="1" x14ac:dyDescent="0.3">
      <c r="A2" s="4">
        <v>1</v>
      </c>
      <c r="B2" s="11" t="s">
        <v>2</v>
      </c>
      <c r="C2" s="3">
        <v>610</v>
      </c>
      <c r="D2" s="3">
        <v>728</v>
      </c>
      <c r="E2" s="3">
        <v>673</v>
      </c>
      <c r="F2" s="3" t="s">
        <v>31</v>
      </c>
      <c r="G2" s="5">
        <v>802</v>
      </c>
      <c r="H2" s="3">
        <v>843</v>
      </c>
      <c r="I2" s="5">
        <v>976</v>
      </c>
      <c r="J2" s="5">
        <v>968</v>
      </c>
      <c r="K2" s="5">
        <v>820</v>
      </c>
      <c r="L2" s="5">
        <v>758</v>
      </c>
      <c r="M2" s="5">
        <v>594</v>
      </c>
      <c r="N2" s="5">
        <v>601</v>
      </c>
    </row>
    <row r="3" spans="1:14" ht="19.95" customHeight="1" x14ac:dyDescent="0.3">
      <c r="A3" s="4">
        <v>2</v>
      </c>
      <c r="B3" s="11" t="s">
        <v>3</v>
      </c>
      <c r="C3" s="3">
        <v>0</v>
      </c>
      <c r="D3" s="3">
        <v>0</v>
      </c>
      <c r="E3" s="3">
        <v>0</v>
      </c>
      <c r="F3" s="3">
        <v>0</v>
      </c>
      <c r="G3" s="5">
        <v>0</v>
      </c>
      <c r="H3" s="3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19.95" customHeight="1" x14ac:dyDescent="0.3">
      <c r="A4" s="4">
        <v>3</v>
      </c>
      <c r="B4" s="11" t="s">
        <v>4</v>
      </c>
      <c r="C4" s="3">
        <v>75</v>
      </c>
      <c r="D4" s="3">
        <v>115</v>
      </c>
      <c r="E4" s="3">
        <v>97</v>
      </c>
      <c r="F4" s="3">
        <v>104</v>
      </c>
      <c r="G4" s="5">
        <v>95</v>
      </c>
      <c r="H4" s="3">
        <v>105</v>
      </c>
      <c r="I4" s="5">
        <v>105</v>
      </c>
      <c r="J4" s="5">
        <v>99</v>
      </c>
      <c r="K4" s="5">
        <v>99</v>
      </c>
      <c r="L4" s="5">
        <v>101</v>
      </c>
      <c r="M4" s="5">
        <v>102</v>
      </c>
      <c r="N4" s="5">
        <v>96</v>
      </c>
    </row>
    <row r="5" spans="1:14" ht="19.95" customHeight="1" x14ac:dyDescent="0.3">
      <c r="A5" s="4">
        <v>4</v>
      </c>
      <c r="B5" s="11" t="s">
        <v>5</v>
      </c>
      <c r="C5" s="3">
        <v>0</v>
      </c>
      <c r="D5" s="3">
        <v>0</v>
      </c>
      <c r="E5" s="3">
        <v>0</v>
      </c>
      <c r="F5" s="3">
        <v>0</v>
      </c>
      <c r="G5" s="5">
        <v>0</v>
      </c>
      <c r="H5" s="3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19.95" customHeight="1" x14ac:dyDescent="0.3">
      <c r="A6" s="4">
        <v>5</v>
      </c>
      <c r="B6" s="11" t="s">
        <v>6</v>
      </c>
      <c r="C6" s="8">
        <v>1</v>
      </c>
      <c r="D6" s="8">
        <v>1</v>
      </c>
      <c r="E6" s="8">
        <v>1</v>
      </c>
      <c r="F6" s="8">
        <v>1</v>
      </c>
      <c r="G6" s="9">
        <v>1</v>
      </c>
      <c r="H6" s="8">
        <v>1</v>
      </c>
      <c r="I6" s="9">
        <v>1</v>
      </c>
      <c r="J6" s="9">
        <v>1</v>
      </c>
      <c r="K6" s="9">
        <v>1</v>
      </c>
      <c r="L6" s="9">
        <v>1</v>
      </c>
      <c r="M6" s="9">
        <v>1</v>
      </c>
      <c r="N6" s="9">
        <v>1</v>
      </c>
    </row>
    <row r="7" spans="1:14" ht="19.95" customHeight="1" x14ac:dyDescent="0.3">
      <c r="A7" s="4">
        <v>6</v>
      </c>
      <c r="B7" s="11" t="s">
        <v>7</v>
      </c>
      <c r="C7" s="3">
        <v>0</v>
      </c>
      <c r="D7" s="3">
        <v>0</v>
      </c>
      <c r="E7" s="3">
        <v>0</v>
      </c>
      <c r="F7" s="3"/>
      <c r="G7" s="5">
        <v>0</v>
      </c>
      <c r="H7" s="3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19.95" customHeight="1" x14ac:dyDescent="0.3">
      <c r="A8" s="4">
        <v>7</v>
      </c>
      <c r="B8" s="11" t="s">
        <v>8</v>
      </c>
      <c r="C8" s="3">
        <v>0</v>
      </c>
      <c r="D8" s="3">
        <v>0</v>
      </c>
      <c r="E8" s="3">
        <v>0</v>
      </c>
      <c r="F8" s="3">
        <v>0</v>
      </c>
      <c r="G8" s="5">
        <v>0</v>
      </c>
      <c r="H8" s="3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19.95" customHeight="1" x14ac:dyDescent="0.3">
      <c r="A9" s="4">
        <v>8</v>
      </c>
      <c r="B9" s="11" t="s">
        <v>9</v>
      </c>
      <c r="C9" s="3">
        <v>0</v>
      </c>
      <c r="D9" s="3">
        <v>0</v>
      </c>
      <c r="E9" s="3">
        <v>0</v>
      </c>
      <c r="F9" s="3">
        <v>0</v>
      </c>
      <c r="G9" s="5">
        <v>0</v>
      </c>
      <c r="H9" s="3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19.95" customHeight="1" x14ac:dyDescent="0.3">
      <c r="A10" s="4">
        <v>9</v>
      </c>
      <c r="B10" s="11" t="s">
        <v>32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</row>
    <row r="11" spans="1:14" ht="19.95" customHeight="1" x14ac:dyDescent="0.3">
      <c r="A11" s="4">
        <v>10</v>
      </c>
      <c r="B11" s="11" t="s">
        <v>10</v>
      </c>
      <c r="C11" s="3">
        <v>1</v>
      </c>
      <c r="D11" s="3">
        <v>1</v>
      </c>
      <c r="E11" s="3">
        <v>3</v>
      </c>
      <c r="F11" s="3">
        <v>1</v>
      </c>
      <c r="G11" s="3">
        <v>1</v>
      </c>
      <c r="H11" s="3">
        <v>1</v>
      </c>
      <c r="I11" s="13">
        <v>1</v>
      </c>
      <c r="J11" s="13">
        <v>1</v>
      </c>
      <c r="K11" s="5">
        <v>0</v>
      </c>
      <c r="L11" s="5">
        <v>0</v>
      </c>
      <c r="M11" s="5">
        <v>0</v>
      </c>
      <c r="N11" s="5">
        <v>0</v>
      </c>
    </row>
    <row r="12" spans="1:14" ht="19.95" customHeight="1" x14ac:dyDescent="0.3">
      <c r="A12" s="4">
        <v>11</v>
      </c>
      <c r="B12" s="11" t="s">
        <v>11</v>
      </c>
      <c r="C12" s="3">
        <v>1</v>
      </c>
      <c r="D12" s="3">
        <v>1</v>
      </c>
      <c r="E12" s="3">
        <v>1</v>
      </c>
      <c r="F12" s="3">
        <v>2</v>
      </c>
      <c r="G12" s="3">
        <v>2</v>
      </c>
      <c r="H12" s="3">
        <v>1</v>
      </c>
      <c r="I12" s="13">
        <v>1</v>
      </c>
      <c r="J12" s="13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19.95" customHeight="1" x14ac:dyDescent="0.3">
      <c r="A13" s="4">
        <v>12</v>
      </c>
      <c r="B13" s="11" t="s">
        <v>12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13">
        <v>0</v>
      </c>
      <c r="J13" s="13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19.95" customHeight="1" x14ac:dyDescent="0.3">
      <c r="A14" s="4">
        <v>13</v>
      </c>
      <c r="B14" s="11" t="s">
        <v>13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13">
        <v>0</v>
      </c>
      <c r="J14" s="13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19.95" customHeight="1" x14ac:dyDescent="0.3">
      <c r="A15" s="4">
        <v>14</v>
      </c>
      <c r="B15" s="11" t="s">
        <v>14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13">
        <v>0</v>
      </c>
      <c r="J15" s="13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19.95" customHeight="1" x14ac:dyDescent="0.3">
      <c r="A16" s="4">
        <v>15</v>
      </c>
      <c r="B16" s="11" t="s">
        <v>15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13">
        <v>0</v>
      </c>
      <c r="J16" s="13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19.95" customHeight="1" x14ac:dyDescent="0.3">
      <c r="A17" s="4">
        <v>16</v>
      </c>
      <c r="B17" s="11" t="s">
        <v>16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F022F-F0BC-4D63-A3AA-AB5EC63E98B7}">
  <dimension ref="A1:N17"/>
  <sheetViews>
    <sheetView tabSelected="1" workbookViewId="0">
      <selection activeCell="P14" sqref="P14"/>
    </sheetView>
  </sheetViews>
  <sheetFormatPr defaultRowHeight="14.4" x14ac:dyDescent="0.3"/>
  <cols>
    <col min="1" max="1" width="5" bestFit="1" customWidth="1"/>
    <col min="2" max="2" width="42.44140625" bestFit="1" customWidth="1"/>
    <col min="3" max="15" width="10.77734375" customWidth="1"/>
  </cols>
  <sheetData>
    <row r="1" spans="1:14" ht="40.049999999999997" customHeight="1" x14ac:dyDescent="0.3">
      <c r="A1" s="2" t="s">
        <v>0</v>
      </c>
      <c r="B1" s="10" t="s">
        <v>1</v>
      </c>
      <c r="C1" s="2" t="s">
        <v>27</v>
      </c>
      <c r="D1" s="2" t="s">
        <v>28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</row>
    <row r="2" spans="1:14" ht="19.95" customHeight="1" x14ac:dyDescent="0.3">
      <c r="A2" s="4">
        <v>1</v>
      </c>
      <c r="B2" s="11" t="s">
        <v>2</v>
      </c>
      <c r="C2" s="3">
        <v>114</v>
      </c>
      <c r="D2" s="3">
        <v>114</v>
      </c>
      <c r="E2" s="3">
        <v>132</v>
      </c>
      <c r="F2" s="3">
        <v>129</v>
      </c>
      <c r="G2" s="3">
        <v>171</v>
      </c>
      <c r="H2" s="3">
        <v>121</v>
      </c>
      <c r="I2" s="13">
        <v>170</v>
      </c>
      <c r="J2" s="13">
        <v>211</v>
      </c>
      <c r="K2" s="6">
        <v>164</v>
      </c>
      <c r="L2" s="6">
        <v>155</v>
      </c>
      <c r="M2" s="6">
        <v>139</v>
      </c>
      <c r="N2" s="6">
        <v>122</v>
      </c>
    </row>
    <row r="3" spans="1:14" ht="19.95" customHeight="1" x14ac:dyDescent="0.3">
      <c r="A3" s="4">
        <v>2</v>
      </c>
      <c r="B3" s="11" t="s">
        <v>3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13">
        <v>0</v>
      </c>
      <c r="J3" s="13">
        <v>0</v>
      </c>
      <c r="K3" s="6">
        <v>0</v>
      </c>
      <c r="L3" s="6">
        <v>0</v>
      </c>
      <c r="M3" s="6">
        <v>0</v>
      </c>
      <c r="N3" s="6">
        <v>0</v>
      </c>
    </row>
    <row r="4" spans="1:14" ht="19.95" customHeight="1" x14ac:dyDescent="0.3">
      <c r="A4" s="4">
        <v>3</v>
      </c>
      <c r="B4" s="11" t="s">
        <v>4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13">
        <v>0</v>
      </c>
      <c r="J4" s="13">
        <v>0</v>
      </c>
      <c r="K4" s="6">
        <v>0</v>
      </c>
      <c r="L4" s="6">
        <v>0</v>
      </c>
      <c r="M4" s="6">
        <v>0</v>
      </c>
      <c r="N4" s="6">
        <v>0</v>
      </c>
    </row>
    <row r="5" spans="1:14" ht="19.95" customHeight="1" x14ac:dyDescent="0.3">
      <c r="A5" s="4">
        <v>4</v>
      </c>
      <c r="B5" s="11" t="s">
        <v>5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13">
        <v>0</v>
      </c>
      <c r="J5" s="13">
        <v>0</v>
      </c>
      <c r="K5" s="6">
        <v>0</v>
      </c>
      <c r="L5" s="6">
        <v>0</v>
      </c>
      <c r="M5" s="6">
        <v>0</v>
      </c>
      <c r="N5" s="6">
        <v>0</v>
      </c>
    </row>
    <row r="6" spans="1:14" ht="19.95" customHeight="1" x14ac:dyDescent="0.3">
      <c r="A6" s="4">
        <v>5</v>
      </c>
      <c r="B6" s="11" t="s">
        <v>6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13">
        <v>0</v>
      </c>
      <c r="J6" s="13">
        <v>0</v>
      </c>
      <c r="K6" s="6">
        <v>0</v>
      </c>
      <c r="L6" s="6">
        <v>0</v>
      </c>
      <c r="M6" s="6">
        <v>0</v>
      </c>
      <c r="N6" s="6">
        <v>0</v>
      </c>
    </row>
    <row r="7" spans="1:14" ht="19.95" customHeight="1" x14ac:dyDescent="0.3">
      <c r="A7" s="4">
        <v>6</v>
      </c>
      <c r="B7" s="11" t="s">
        <v>7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13">
        <v>0</v>
      </c>
      <c r="J7" s="13">
        <v>0</v>
      </c>
      <c r="K7" s="6">
        <v>0</v>
      </c>
      <c r="L7" s="6">
        <v>0</v>
      </c>
      <c r="M7" s="6">
        <v>0</v>
      </c>
      <c r="N7" s="6">
        <v>0</v>
      </c>
    </row>
    <row r="8" spans="1:14" ht="19.95" customHeight="1" x14ac:dyDescent="0.3">
      <c r="A8" s="4">
        <v>7</v>
      </c>
      <c r="B8" s="11" t="s">
        <v>8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13">
        <v>0</v>
      </c>
      <c r="J8" s="13">
        <v>0</v>
      </c>
      <c r="K8" s="6">
        <v>0</v>
      </c>
      <c r="L8" s="6">
        <v>0</v>
      </c>
      <c r="M8" s="6">
        <v>0</v>
      </c>
      <c r="N8" s="6">
        <v>0</v>
      </c>
    </row>
    <row r="9" spans="1:14" ht="19.95" customHeight="1" x14ac:dyDescent="0.3">
      <c r="A9" s="4">
        <v>8</v>
      </c>
      <c r="B9" s="11" t="s">
        <v>9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13">
        <v>0</v>
      </c>
      <c r="J9" s="13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9.95" customHeight="1" x14ac:dyDescent="0.3">
      <c r="A10" s="4">
        <v>9</v>
      </c>
      <c r="B10" s="11" t="s">
        <v>32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</row>
    <row r="11" spans="1:14" ht="19.95" customHeight="1" x14ac:dyDescent="0.3">
      <c r="A11" s="4">
        <v>10</v>
      </c>
      <c r="B11" s="11" t="s">
        <v>10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13">
        <v>0</v>
      </c>
      <c r="J11" s="13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9.95" customHeight="1" x14ac:dyDescent="0.3">
      <c r="A12" s="4">
        <v>11</v>
      </c>
      <c r="B12" s="11" t="s">
        <v>11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13">
        <v>0</v>
      </c>
      <c r="J12" s="13">
        <v>0</v>
      </c>
      <c r="K12" s="6">
        <v>0</v>
      </c>
      <c r="L12" s="6">
        <v>0</v>
      </c>
      <c r="M12" s="6">
        <v>0</v>
      </c>
      <c r="N12" s="6">
        <v>0</v>
      </c>
    </row>
    <row r="13" spans="1:14" ht="19.95" customHeight="1" x14ac:dyDescent="0.3">
      <c r="A13" s="4">
        <v>12</v>
      </c>
      <c r="B13" s="11" t="s">
        <v>12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13">
        <v>0</v>
      </c>
      <c r="J13" s="13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9.95" customHeight="1" x14ac:dyDescent="0.3">
      <c r="A14" s="4">
        <v>13</v>
      </c>
      <c r="B14" s="11" t="s">
        <v>13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13">
        <v>0</v>
      </c>
      <c r="J14" s="13">
        <v>0</v>
      </c>
      <c r="K14" s="6">
        <v>0</v>
      </c>
      <c r="L14" s="6">
        <v>0</v>
      </c>
      <c r="M14" s="6">
        <v>0</v>
      </c>
      <c r="N14" s="6">
        <v>0</v>
      </c>
    </row>
    <row r="15" spans="1:14" ht="19.95" customHeight="1" x14ac:dyDescent="0.3">
      <c r="A15" s="4">
        <v>14</v>
      </c>
      <c r="B15" s="11" t="s">
        <v>14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13">
        <v>0</v>
      </c>
      <c r="J15" s="13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9.95" customHeight="1" x14ac:dyDescent="0.3">
      <c r="A16" s="4">
        <v>15</v>
      </c>
      <c r="B16" s="11" t="s">
        <v>15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13">
        <v>0</v>
      </c>
      <c r="J16" s="13">
        <v>0</v>
      </c>
      <c r="K16" s="6">
        <v>0</v>
      </c>
      <c r="L16" s="6">
        <v>0</v>
      </c>
      <c r="M16" s="6">
        <v>0</v>
      </c>
      <c r="N16" s="6">
        <v>0</v>
      </c>
    </row>
    <row r="17" spans="1:14" ht="19.95" customHeight="1" x14ac:dyDescent="0.3">
      <c r="A17" s="4">
        <v>16</v>
      </c>
      <c r="B17" s="11" t="s">
        <v>16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Hematology</vt:lpstr>
      <vt:lpstr>Special Chemistry</vt:lpstr>
      <vt:lpstr>Routine Chemistry</vt:lpstr>
      <vt:lpstr>Microbiology</vt:lpstr>
      <vt:lpstr>Molecular Pathology</vt:lpstr>
      <vt:lpstr>Histopathology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AHF</dc:creator>
  <cp:lastModifiedBy>Asif Haleem Khan - Senior Officer</cp:lastModifiedBy>
  <dcterms:created xsi:type="dcterms:W3CDTF">2015-06-05T18:17:20Z</dcterms:created>
  <dcterms:modified xsi:type="dcterms:W3CDTF">2026-02-12T05:38:47Z</dcterms:modified>
</cp:coreProperties>
</file>